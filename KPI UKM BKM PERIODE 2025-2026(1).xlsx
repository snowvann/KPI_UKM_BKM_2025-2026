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Donny\Downloads\"/>
    </mc:Choice>
  </mc:AlternateContent>
  <xr:revisionPtr revIDLastSave="0" documentId="13_ncr:1_{E11C590D-602C-46E1-AF40-5075CC1871A2}" xr6:coauthVersionLast="45" xr6:coauthVersionMax="45" xr10:uidLastSave="{00000000-0000-0000-0000-000000000000}"/>
  <bookViews>
    <workbookView xWindow="3480" yWindow="2840" windowWidth="14400" windowHeight="7360" xr2:uid="{168F65B1-0CAF-4B47-AC9A-EC4E924AE3BD}"/>
  </bookViews>
  <sheets>
    <sheet name="Ketum" sheetId="8" r:id="rId1"/>
    <sheet name="SEKUM" sheetId="1" r:id="rId2"/>
    <sheet name="Sekretaris 1" sheetId="7" r:id="rId3"/>
    <sheet name="Bendahara 1" sheetId="9" r:id="rId4"/>
    <sheet name="LITBANG" sheetId="6" r:id="rId5"/>
    <sheet name="HUMAS" sheetId="2" r:id="rId6"/>
    <sheet name="KESEHATAN" sheetId="4" r:id="rId7"/>
    <sheet name="PENGAB" sheetId="5" r:id="rId8"/>
    <sheet name="RT" sheetId="3"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3" i="9" l="1"/>
  <c r="I12" i="9"/>
  <c r="I11" i="9"/>
  <c r="I10" i="9"/>
  <c r="I9" i="9"/>
  <c r="I8" i="9"/>
  <c r="I7" i="9"/>
  <c r="I6" i="9"/>
  <c r="I5" i="9"/>
  <c r="I4" i="9"/>
  <c r="I3" i="9"/>
  <c r="I2" i="9"/>
  <c r="I7" i="8"/>
  <c r="I8" i="8"/>
  <c r="I6" i="8"/>
  <c r="I5" i="8"/>
  <c r="I3" i="8"/>
  <c r="I2" i="8"/>
  <c r="I3" i="5"/>
  <c r="I4" i="5"/>
  <c r="I5" i="5"/>
  <c r="I6" i="5"/>
  <c r="I7" i="5"/>
  <c r="I8" i="5"/>
  <c r="I2" i="5"/>
  <c r="I4" i="3"/>
  <c r="I5" i="3"/>
  <c r="I6" i="3"/>
  <c r="I7" i="3"/>
  <c r="I8" i="3"/>
  <c r="I9" i="3"/>
  <c r="I10" i="3"/>
  <c r="I11" i="3"/>
  <c r="I12" i="3"/>
  <c r="I13" i="3"/>
  <c r="I3" i="3"/>
  <c r="I2" i="3"/>
  <c r="H3" i="2"/>
  <c r="H4" i="2"/>
  <c r="H5" i="2"/>
  <c r="H6" i="2"/>
  <c r="H7" i="2"/>
  <c r="H8" i="2"/>
  <c r="H9" i="2"/>
  <c r="H10" i="2"/>
  <c r="H11" i="2"/>
  <c r="H12" i="2"/>
  <c r="H2" i="2"/>
  <c r="I3" i="6"/>
  <c r="I4" i="6"/>
  <c r="I5" i="6"/>
  <c r="I6" i="6"/>
  <c r="I7" i="6"/>
  <c r="I8" i="6"/>
  <c r="I9" i="6"/>
  <c r="I10" i="6"/>
  <c r="I11" i="6"/>
  <c r="I12" i="6"/>
  <c r="I13" i="6"/>
  <c r="I14" i="6"/>
  <c r="I15" i="6"/>
  <c r="I2" i="6"/>
  <c r="I2" i="7" l="1"/>
  <c r="I5" i="7"/>
  <c r="I4" i="7"/>
  <c r="I3" i="7"/>
  <c r="I2" i="1" l="1"/>
  <c r="I3" i="1"/>
  <c r="I4" i="1"/>
  <c r="I5" i="1"/>
  <c r="I6" i="1"/>
</calcChain>
</file>

<file path=xl/sharedStrings.xml><?xml version="1.0" encoding="utf-8"?>
<sst xmlns="http://schemas.openxmlformats.org/spreadsheetml/2006/main" count="382" uniqueCount="272">
  <si>
    <t>Key Performance Indicators</t>
  </si>
  <si>
    <t>Target</t>
  </si>
  <si>
    <t>Metode pengukuran</t>
  </si>
  <si>
    <t>Pelaksanaan</t>
  </si>
  <si>
    <t>General Time Schedule</t>
  </si>
  <si>
    <t>Persentase</t>
  </si>
  <si>
    <t>No</t>
  </si>
  <si>
    <t>GTS / Perencanaan</t>
  </si>
  <si>
    <t>Gagal / Berhasil</t>
  </si>
  <si>
    <t>Jumlah Rapat Koordinasi</t>
  </si>
  <si>
    <t>Rekap jadwal vs realisasi rakor.</t>
  </si>
  <si>
    <t>Pelaporan Pertanggungjawaban</t>
  </si>
  <si>
    <t>Dokumen LPJ yang disahkan.</t>
  </si>
  <si>
    <t>Selesai</t>
  </si>
  <si>
    <t>Rekapitulasi Persentase KPI</t>
  </si>
  <si>
    <t>Rekapitulasi capaian setiap KPI, divisualisasikan dalam bentuk persentase.</t>
  </si>
  <si>
    <t>Membuat plan keberhasilan proposal dengan berbagai bentuk proposal</t>
  </si>
  <si>
    <t>Minimal 85% plan tercapai per triwulan</t>
  </si>
  <si>
    <t>Membuat form plan bentuk pengajuan proposal sponsorship skala nasional dan internasional (bahasa inggris)</t>
  </si>
  <si>
    <t>Metode Pengukuran</t>
  </si>
  <si>
    <t>Status</t>
  </si>
  <si>
    <t>Bukti</t>
  </si>
  <si>
    <t>Jumlah Peserta Seminar Nasional</t>
  </si>
  <si>
    <t>Minimal 250 perserta</t>
  </si>
  <si>
    <t>Menghitung jumlah pendaftar berdasarkan google form</t>
  </si>
  <si>
    <t>FORM SEMNAS (JAWABAN) - Google Spreadsheet</t>
  </si>
  <si>
    <t>Pendapatan dari Seminar Nasioanal</t>
  </si>
  <si>
    <t>Minimal Rp1.000.000</t>
  </si>
  <si>
    <t>Menghitung laba yang terkumpul berdasarkan laporan keuangan. (Tanpa Dipa)</t>
  </si>
  <si>
    <t>Yang datang ke both stand BKM di Expo Kelembagaan</t>
  </si>
  <si>
    <t>Minimal 900 pengunjung per expo.</t>
  </si>
  <si>
    <t>Menghitung jumlah pengunjung berdasarkan daftar hadir mahasiswa baru baik dari absensi manual maupun google form.</t>
  </si>
  <si>
    <t>Jumlah fungsionaris yang mengikuti Outbond</t>
  </si>
  <si>
    <t>Minimal 80% peserta menyatakan puas.</t>
  </si>
  <si>
    <t>Survei kepuasan peserta setelah kegiatan.</t>
  </si>
  <si>
    <t>https://drive.google.com/drive/folders/1NAXww2IDmp8es7im7x6w1txMbvdnwK5e?usp=drive_link</t>
  </si>
  <si>
    <t>Pendapatan dari Bunga Wisuda</t>
  </si>
  <si>
    <t>Minimal Rp 1 juta per periode wisuda.</t>
  </si>
  <si>
    <t>Menghitung total dana yang terkumpul berdasarkan laporan keuangan.</t>
  </si>
  <si>
    <t>-</t>
  </si>
  <si>
    <t>Jumlah Dana Usaha</t>
  </si>
  <si>
    <t>1.409.500</t>
  </si>
  <si>
    <t>Jangkauan Media Sosial</t>
  </si>
  <si>
    <t>Jika naik 100%, jika turun 0%</t>
  </si>
  <si>
    <t>Menggunakan analitik media sosial untuk menghitung interaksi.</t>
  </si>
  <si>
    <t>https://docs.google.com/spreadsheets/d/1ieYbhBH4SfB-Ptm7aI_98bryHip6gg732fpGLY_WML4/edit?usp=sharing</t>
  </si>
  <si>
    <t>Sponsorhip</t>
  </si>
  <si>
    <t>Minimal : 50 Sponsorship, 20 CSR</t>
  </si>
  <si>
    <t>Menghitung jumlah pihak sponsor &amp; CSR yang bekerjasama</t>
  </si>
  <si>
    <t>Sponsor :50
CSR : 20</t>
  </si>
  <si>
    <t>Proker pengguna Sponsor :
Donor darah 1 : 5 Sponsor
Dies Natalies : 6 Sponsor
Seminar Nasional : 7
Donor darah 2 : 6
PBK : 5
CSR : 0</t>
  </si>
  <si>
    <t>Mitra</t>
  </si>
  <si>
    <t>Minimal : 5</t>
  </si>
  <si>
    <t>Menghitung jumlah pihak eksternal yang bekerjasama lebih dari 1 kali</t>
  </si>
  <si>
    <t>min 5</t>
  </si>
  <si>
    <t>Pembuatan konten generator</t>
  </si>
  <si>
    <t>Minimal: 12 maka 100%, jika kurang 0%</t>
  </si>
  <si>
    <t>Menghitung jumlah konten yang akan dibuat tiap pelaksanaan</t>
  </si>
  <si>
    <t>pelaksanaan konten</t>
  </si>
  <si>
    <t>Menghitung jumlah konten yang sudah direncanakan</t>
  </si>
  <si>
    <t>Cross check General Time Schedule dengan realisasi, jika tepat 100%, jika kurang atau lebih dari 2 minggu perencanaan 80%, jika lebih dari 2 minggu 50%</t>
  </si>
  <si>
    <t>Keterangan</t>
  </si>
  <si>
    <t>Diperlukan penguatan pada tahap perencanaan, penetapan jadwal, serta monitoring berkala guna meningkatkan stabilitas dan kualitas pelaksanaan program kerja pada periode selanjutnya.</t>
  </si>
  <si>
    <t xml:space="preserve">Program kerja belum terealisasi karena belum terbentuknya pandangan dan kerangka kerja yang jelas dalam penyusunan proposal sponsorship, serta fokus kepengurusan yang masih terpusat pada internal, sehingga alokasi waktu, fokus dan koordinasi yang dibutuhkan belum dapat terpenuhi secara optimal. </t>
  </si>
  <si>
    <t>Perencanaan</t>
  </si>
  <si>
    <t>Jika tercapai 100% maka nilainya 100%, jika tercapai 80% maka 50%, jika tercapai kurang dari 50% maka 0%. Penghitungan dihitung 30% dari kebutuhan PBK</t>
  </si>
  <si>
    <t>10% dari Rp 56.657.400 
(Rp 5.665.740)</t>
  </si>
  <si>
    <t>KSR PMI UMM (Pelaksanaan DD2 dan Latihan Gabungan)
PMI (Pelaksanaan DD1&amp;2)
Desa Girimulyo (Pelaksanaan PBK)
Panti Asuhan Attawabin (Pelaksanaan Sosram)
(kurang 1)</t>
  </si>
  <si>
    <t>Tingkat Partisipasi Diklat Open Recruitment</t>
  </si>
  <si>
    <t>Minimal 70% calon anggota mengikuti diklat.</t>
  </si>
  <si>
    <t>Membagi jumlah peserta diklat dengan total calon anggota, dikalikan 100%.</t>
  </si>
  <si>
    <t>Jumlah targetan dana Sponsorship untuk Dies Natalis</t>
  </si>
  <si>
    <t>Minimal 90% dari dana targetan.</t>
  </si>
  <si>
    <t>Membagi jumlah dana yang didapatkan dengan total targetan, dikali 100%</t>
  </si>
  <si>
    <t>Jumlah targetan iuran fungsionaris OC untuk Dies Natalis</t>
  </si>
  <si>
    <t>Jumlah targetan iuran fungsionaris SC untuk Dies Natalis</t>
  </si>
  <si>
    <t>Jumlah targetan komunitas yang datang pada saat hari H Dies Natalis</t>
  </si>
  <si>
    <t>Minimal 95% dari targetan kehadiran.</t>
  </si>
  <si>
    <t>Membagi jumlah kedatangan KSR dengan total targetan, dikalikan 100%</t>
  </si>
  <si>
    <t>Keakuratan Struktur Organisasi</t>
  </si>
  <si>
    <t>100% data akurat dan diperbarui.</t>
  </si>
  <si>
    <t>Audit Struktur Organisasi untuk memastikan keakuratan.</t>
  </si>
  <si>
    <t>Distribusi Kartu Tanda Anggota</t>
  </si>
  <si>
    <t>100% anggota menerima kartu tanda anggota.</t>
  </si>
  <si>
    <t>Membagi jumlah anggota yang menerima kartu tepat waktu dengan total anggota, dikalikan 100%.</t>
  </si>
  <si>
    <t>Ketersediaan Pakaian Dinas Lapang</t>
  </si>
  <si>
    <t>100% anggota menerima pakaian dinas lapang.</t>
  </si>
  <si>
    <t>Audit distribusi Pakaian Dinas Lapang untuk memastikan ketersediaan.</t>
  </si>
  <si>
    <t>Kelengkapan, kelayakan data list Inventaris</t>
  </si>
  <si>
    <t>100% inventaris terdata</t>
  </si>
  <si>
    <t>Audit inventaris sekretariat untuk memastikan kelengkapan dan kondisi.</t>
  </si>
  <si>
    <t>Membuat dan mendata KPI individu untuk calon fungsionaris baru</t>
  </si>
  <si>
    <t>100% jika sesuai dengan peserta diklat open recruitment</t>
  </si>
  <si>
    <t>Menghitung jumlah KPI dan disesuaikan dengan jumlah calon fungsionaris UKM BKM</t>
  </si>
  <si>
    <t>Koordinasi Internal (Rakor &amp; Shakor)</t>
  </si>
  <si>
    <t>Minimal 90% keputusan rapat terlaksana sesuai jadwal dan berdampak positif pada kelancaran proker.</t>
  </si>
  <si>
    <t>- Persentase partisipasi aktif (jumlah hadir ÷ total pengurus × 100%). 
- Analisis benturan jadwal di kalender kegiatan (apakah berkurang/terselesaikan).</t>
  </si>
  <si>
    <t>Membantu koordinasi Internal (Ketum, Koordinator Litbang, Sekertaris 1 &amp; 2, Bendara 1 &amp; 2, Kepala Departemen, Sekertaris Departemen) dengan Koordinator Penelitian dan Pengembangan</t>
  </si>
  <si>
    <t>- Menjamin setiap program kerja dan kegiatan terlaksana sesuai rencana dan terintegrasi.
- Mengurangi tumpang tindih pekerjaan antar departemen.
- Menjaga arus komunikasi tetap lancar sehingga keputusan dapat segera diimplementasikan.
- Meningkatkan akuntabilitas kinerja internal.</t>
  </si>
  <si>
    <t>- Ketepatan waktu pelaksanaan program kerja/kegiatan.
- Kesesuaian output dengan target awal.
- Partisipasi aktif antar departemen/unsur dalam pelaksanaan.
- Efektivitas distribusi informasi (informasi sampai ke pihak yang tepat dalam waktu cepat).
- Dampak koordinasi terhadap kinerja tim (misalnya penyelesaian masalah lebih cepat, tidak ada pekerjaan terbengkalai).</t>
  </si>
  <si>
    <t>Partisipasi calon anggota dalam kegiatan diklat open recruitment mencapai 77% dari total pendaftar. Persentase ini telah melampaui target minimal 70%, meskipun masih terdapat kendala pada aspek publikasi yang belum menjangkau seluruh calon anggota secara optimal.</t>
  </si>
  <si>
    <t>Dana sponsorship yang berhasil dihimpun mencapai 66% dari target yang ditetapkan. Capaian ini belum memenuhi indikator minimal 90%, dipengaruhi oleh keterbatasan respons dari pihak sponsor serta sebagian sponsor memberikan kontribusi dalam bentuk barang (in-kind) dan bukan dana tunai.</t>
  </si>
  <si>
    <t>Pengumpulan iuran fungsionaris OC melampaui target yang ditetapkan dengan capaian 114%. Hal ini menunjukkan komitmen dan partisipasi fungsionaris OC yang tinggi dalam mendukung pendanaan kegiatan Dies Natalis.</t>
  </si>
  <si>
    <t>Iuran fungsionaris SC berhasil melampaui target dengan capaian sebesar 124%. Pencapaian ini mencerminkan kesadaran dan dukungan fungsionaris SC terhadap keberlangsungan dan kualitas pelaksanaan kegiatan.</t>
  </si>
  <si>
    <t>Jumlah komunitas yang hadir pada hari H mencapai 65% dari target kehadiran. Capaian ini belum memenuhi indikator minimal 95%, yang disebabkan oleh kendala internal dari beberapa KSR sehingga tidak dapat menghadiri kegiatan sesuai rencana.</t>
  </si>
  <si>
    <t>Keakuratan struktur organisasi hampir sepenuhnya terpenuhi, namun masih ditemukan satu kesalahan penulisan nama fungsionaris. Sesuai indikator yang mensyaratkan keakuratan 100%, capaian ini dinyatakan belum memenuhi standar.</t>
  </si>
  <si>
    <t>Distribusi Kartu Tanda Anggota mencapai 89% dari total anggota. Capaian ini belum memenuhi target 100% karena adanya beberapa fungsionaris yang memilih untuk tidak melakukan pemesanan kartu.</t>
  </si>
  <si>
    <t>Pendistribusian Pakaian Dinas Lapang terealisasi sebesar 89% dari total anggota. Ketidaktercapaian target disebabkan oleh sebagian fungsionaris yang tidak berkenan melakukan pemesanan PDL.</t>
  </si>
  <si>
    <t>Seluruh calon fungsionaris baru telah memiliki dan terdokumentasi KPI individu sesuai dengan jumlah peserta diklat open recruitment, sehingga indikator ini tercapai 100%.</t>
  </si>
  <si>
    <t>Koordinasi dengan Koordinator Penelitian dan Pengembangan terlaksana sepenuhnya sesuai perencanaan. Seluruh program kerja dan kegiatan dapat terintegrasi dengan baik, komunikasi berjalan efektif, serta tidak ditemukan hambatan signifikan dalam distribusi informasi dan pelaksanaan tugas lintas unsur.</t>
  </si>
  <si>
    <t>Penilaian</t>
  </si>
  <si>
    <t>Penjelasan</t>
  </si>
  <si>
    <t>Jumlah Peserta Donor Darah</t>
  </si>
  <si>
    <t>Menghitung jumlah peserta berdasarkan laporan kegiatan.</t>
  </si>
  <si>
    <t>gagal</t>
  </si>
  <si>
    <t>Karena publikasi kegiatan donor 
darah belum dilakukan secara 
maksimal dan merata.</t>
  </si>
  <si>
    <t>Pelaksanaan MoU oleh pihak kolaborator
yang tidak berjalan dengan baik sehingga 
target jumlah pendonor tidak terpenuhi.</t>
  </si>
  <si>
    <t>Jumlah Penerima Manfaat Kesehatan Masyarakat</t>
  </si>
  <si>
    <t>Menghitung jumlah penerima manfaat berdasarkan laporan kegiatan.</t>
  </si>
  <si>
    <t>berhasil</t>
  </si>
  <si>
    <t>Terdapat sponsor yang sulit untuk dihubungi dan ada beberapa pihak sponsor yang mensponsori berupa barang bukan fresh money</t>
  </si>
  <si>
    <t>Kesiapan Tim Pertolongan Pertama</t>
  </si>
  <si>
    <t>Audit kesiapan Tim Pertolongan Pertama sebelum kegiatan.</t>
  </si>
  <si>
    <t>Rendahnya partisipasi anggota dalam pengisian kegiatan Tim 
Kesehatan dikarenakan kurangnya 
penguasaan materi pertolongan. 
pertama oleh fungsionaris, serta pelaksanaan latihan gabungan dengan pihak luar hanya dilakukan sekali dalam 1 periode.</t>
  </si>
  <si>
    <t>Keaktifan kegiatan Tim Kesehatan</t>
  </si>
  <si>
    <t>Minimal 12 MoU dalam 1 periode, 100% jika berhasil</t>
  </si>
  <si>
    <t>Membagi jumlah kegiatan dengan partisipasi Tim Kesehatan dengan total kegiatan, dikalikan 100%.</t>
  </si>
  <si>
    <t>Pelaksanaan kegiatan tim kesehatan lebih banyak daripada target dalam satu periode</t>
  </si>
  <si>
    <t>Kelengkapan List Obat</t>
  </si>
  <si>
    <t>100% obat ters-deskripsi dan fungsional.</t>
  </si>
  <si>
    <t>Audit List Obat untuk memastikan kelengkapan dan kondisi.</t>
  </si>
  <si>
    <t>Terdapat jadwal pemeriksaan list obat yang tidak terlaksana</t>
  </si>
  <si>
    <t>Riset isu kesehatan yang sedang trend</t>
  </si>
  <si>
    <t>Minimal mendapatkan 2 isu yang dibahas</t>
  </si>
  <si>
    <t>Menghitung jumlah isu yang didapatkan setelah dilakukannya riset</t>
  </si>
  <si>
    <t>Terdapat perlakuan riset trend permasalahan kesehatan yang 
berpotensi terjadi</t>
  </si>
  <si>
    <t>Membuat konten edukasi kesehatan</t>
  </si>
  <si>
    <t>Minimal mengangkat 2 isu yang didapatkan dari riset</t>
  </si>
  <si>
    <t>Menghitung jumlah isu yang diangkat menjadi konten</t>
  </si>
  <si>
    <t>Koordinasi dengan departemen humas perihal pembuatan konten edukasi 
yang relevan dengan hasil riset kasus terkini berjalan dengan baik</t>
  </si>
  <si>
    <t>Jika Terpenuhi 100%</t>
  </si>
  <si>
    <t>Jumlah Peserta Bhakti Mahasiswa</t>
  </si>
  <si>
    <t xml:space="preserve">
Total 100 peserta yang mengikuti Program Bhakti Mahasiswa, dengan rincian:
- Fungsionaris SC : 20
- Fungsionaris OC : 40
- Fungsionaris Baru : 10
- Volunteer : 15
- Warga Desa : 20
</t>
  </si>
  <si>
    <t>Jumlah masyarakat yang mengikuti Program Kerja Bakti Sosial</t>
  </si>
  <si>
    <t>Total 40 warga Desa Girimulyo yang mengikuti sosialisasi dan pelatihan budidaya</t>
  </si>
  <si>
    <t>Menghitung jumlah peserta berdasarkan absensi kegiatan.</t>
  </si>
  <si>
    <t xml:space="preserve">
Terdapat informasi mendadak (h-3 jam) dari warga Dusun Pagutan, yang menyatakan bahwa mereka tidak bisa hadir dan mengikuti kegiatan sosialisasi dan pelatihan budidaya.
</t>
  </si>
  <si>
    <t>Jumlah donasi yang disalurkan dalam Program Kerja Sosial Ramadhan</t>
  </si>
  <si>
    <t>Jika lebih dari 14 Juta maka 100%, jika 12 Juta maka 80%, jika 7 Juta maka 50%, jika ≤ 7jt maka 0%</t>
  </si>
  <si>
    <t xml:space="preserve">
Menghitung jumlah penerima manfaat berdasarkan laporan kegiatan.
</t>
  </si>
  <si>
    <t>Membuat campaign untuk kegiatan galang dana Sosial Ramadhan</t>
  </si>
  <si>
    <t>Jika campaign dan rancangan dana yang dibuat 5 maka 100%, jika 3 maka 60%</t>
  </si>
  <si>
    <t>Menghitung jumlah campaign yang terealisasi dibandingkan dengan targetan.</t>
  </si>
  <si>
    <t>Membuat campaign untuk kegiatan galang dana PBK</t>
  </si>
  <si>
    <t xml:space="preserve">
Menghitung jumlah campaign yang terealisasi dibandingkan dengan targetan.
</t>
  </si>
  <si>
    <t>Pencapaian target rancangan dana</t>
  </si>
  <si>
    <t>Jika tercapai 100%, jika tidak memenuhi 0%</t>
  </si>
  <si>
    <t xml:space="preserve">
Membandingkan jumlah dana yang didapat dengan target rancangan dana.
</t>
  </si>
  <si>
    <t>Konten edukasi SDGs</t>
  </si>
  <si>
    <t>Minimal 3 konten per bulan</t>
  </si>
  <si>
    <t xml:space="preserve">
Menghitung jumlah konten yang dipublikasikan di media sosial resmi BKM.
</t>
  </si>
  <si>
    <t>Baru terdapat 1 konten edukasi SDGs yang dipublikasikan di media sosial resmi UKM Bhakti Karya Mahasiswa.</t>
  </si>
  <si>
    <t xml:space="preserve">
KPI belum tercapai karena penyesuaian baru dilaksanakan pada tengah mendekati akhir periode
</t>
  </si>
  <si>
    <t xml:space="preserve"> </t>
  </si>
  <si>
    <t>Hanya terdapat 2 konsep campaign galang dana Sosial Ramadhan yang dirancang dan direalisasikan sesuai dengan target yang ditetapkan. 2 campaign yang berhasil terealisasikan dalam bentuk publikasi offline menggunakan pamflet dan publikasi online menggunakan akun tiktok UKM Bhakti Karya Mahasiswa dan story WhatsApp fungsionaris UKM Bhakti Karya Mahasiswa.</t>
  </si>
  <si>
    <t xml:space="preserve">
Hanya terdapat 2 konsep campaign galang dana PBK yang dirancang dan direalisasikan sesuai dengan target yang ditetapkan. 2 campaign yang berhasil terealisasikan dalam bentuk publikasi offline menggunakan pamflet dan publikasi online menggunakan akun tiktok UKM Bhakti Karya Mahasiswa, story WhatsApp fungsionaris UKM Bhakti Karya Mahasiswa, dan akun resmi UKM Bhakti Karya Mahasiswa.</t>
  </si>
  <si>
    <t>Identifikasi Masalah Internal</t>
  </si>
  <si>
    <t>Minimal 5 temuan per semester.</t>
  </si>
  <si>
    <t>Laporan hasil riset dan rekap masalah.</t>
  </si>
  <si>
    <t>Rekomendasi Pengembangan Organisasi</t>
  </si>
  <si>
    <t>Minimal 4 rekomendasi per kuartal.</t>
  </si>
  <si>
    <t>Menghitung jumlah rekomendasi yang diajukan dalam laporan Litbang.</t>
  </si>
  <si>
    <t>Implementasi Rekomendasi Litbang</t>
  </si>
  <si>
    <t>Minimal 75% rekomendasi diimplementasikan.</t>
  </si>
  <si>
    <t>Membagi jumlah rekomendasi yang diimplementasikan dengan total rekomendasi, dikalikan 100%.</t>
  </si>
  <si>
    <t>Penyelesaian Masalah Internal</t>
  </si>
  <si>
    <t>Minimal 70% masalah selesai.</t>
  </si>
  <si>
    <t>Membagi jumlah masalah yang terselesaikan dengan total masalah yang dilaporkan.</t>
  </si>
  <si>
    <t>Agenda sharing alumni</t>
  </si>
  <si>
    <t>4 kali dalam 1 periode kepemimpinan, 100%, dibawah &lt;=3 0%</t>
  </si>
  <si>
    <t>Membagi jumlah anggota hadir dengan total anggota, dikalikan 100%.</t>
  </si>
  <si>
    <t>Evaluasi KPI Pasca Kegiatan / program kerja</t>
  </si>
  <si>
    <t>100% kegiatan dievaluasi.</t>
  </si>
  <si>
    <t>Laporan evaluasi pasca kegiatan.</t>
  </si>
  <si>
    <t>Evaluasi KPI BPH</t>
  </si>
  <si>
    <t>Minimal 2 kali evaluasi BPH per periode.</t>
  </si>
  <si>
    <t>Laporan hasil evaluasi.</t>
  </si>
  <si>
    <t>Penyaluran Saran &amp; Kritik OC ke SC</t>
  </si>
  <si>
    <t>Jika jumlah kritik dan saran yang disampaikan dalam 3 bulan mencapai 30 maka 100%, jika 20 maka 50%, jika &lt;= 19 maka 0%</t>
  </si>
  <si>
    <t>Rekap laporan masukan OC → SC.</t>
  </si>
  <si>
    <t>Riset Mitra Pengembangan Skill</t>
  </si>
  <si>
    <t>Minimal 3 lembaga potensial per bulannya. Jika 3 100%, jika 2 50%, jika &lt; 2 maka 0%</t>
  </si>
  <si>
    <t>Laporan riset dan rekomendasi mitra.</t>
  </si>
  <si>
    <t>Partisipasi Anggota dalam Upgrading Skill</t>
  </si>
  <si>
    <t>Minimal 10 anggota hadir maka 100%, jika 9 angota maka 80%, jika 8 maka 0%</t>
  </si>
  <si>
    <t>Pengolahan data KPI</t>
  </si>
  <si>
    <t>Seluruh data KPI tercatat dengan akurat dan sudah diarsipkan</t>
  </si>
  <si>
    <t>Data KPI yang direkapitulasi telah sesuai dengan kondisi lapangan</t>
  </si>
  <si>
    <t>Melakukan evaluasi KPI</t>
  </si>
  <si>
    <t>Minimal 2 kali evaluasi fungsionaris per periode</t>
  </si>
  <si>
    <t>Pengelolaan data KPI calon fungsionaris baru</t>
  </si>
  <si>
    <t>Perbandingan hasil proker dengan rencana awal</t>
  </si>
  <si>
    <t>100% jika semua terlaksana dengan renana awal, 80% jika sesuai sebagian dengan rencana awal, 0% jika tidak sesuai sama sekali</t>
  </si>
  <si>
    <t>Rekapitulasi laporan hasil proker dibandingkan dokumen Musyawarah Kerja dan rancangan awal Badan Pengurus Harian beserta kepala serta sekertaris departemen.</t>
  </si>
  <si>
    <t>Fungsionaris SC : 20
Fungsionaris OC : 40
Fungsionaris Baru : 10
Volunteer : 15
Warga Desa : 21</t>
  </si>
  <si>
    <t>Fungsionaris SC : 18
Fungsionaris OC : 44
Fungsionaris Baru : 7
Volunteer : 18
Warga Desa : 47</t>
  </si>
  <si>
    <t>Ketepatan Pengelolaan dan Pengarsipan
Administrasi secara digital</t>
  </si>
  <si>
    <t xml:space="preserve">Sekertaris 1 memastikan dan memeriksa kelengkapan pengarsipan serta memeriksa kesalahan atau ketidaksesuaian. </t>
  </si>
  <si>
    <t>Ketepatan Pengelolaan dan Pengarsipan Administrasi secara Konvensional</t>
  </si>
  <si>
    <t>Efektivitas Koordinasi dengan Sekretaris Departemen mengenai Administrasi secara Offline</t>
  </si>
  <si>
    <t>Perbandingan antara jumlah pertemuan koordinasi yang direncanakan dengan yang terlaksana, dilengkapi notulensi</t>
  </si>
  <si>
    <t>Ketepatan Pengelolaan dan Pengarsipan Surat masuk secara konvensional dan digital</t>
  </si>
  <si>
    <t>Jumlah Kemitraan Eksternal</t>
  </si>
  <si>
    <t>Keberhasilan Representasi Organisasi</t>
  </si>
  <si>
    <t>Tingkat Kepuasan Mitra Eksternal</t>
  </si>
  <si>
    <t xml:space="preserve">Mengekternalkan BKM ke organisasi lain </t>
  </si>
  <si>
    <t>Mengeksternalkan BKM ke kampus lain</t>
  </si>
  <si>
    <t>Mengeksternalkan BKM ke tingkat nasional</t>
  </si>
  <si>
    <t>Minimal 3 kemitraan baru dalam 1 periode</t>
  </si>
  <si>
    <t>≥70% acara eksternal menghasilkan follow-up</t>
  </si>
  <si>
    <t>≥85% puas + minimal 1 kerjasama lanjutan</t>
  </si>
  <si>
    <t>Minimal 3 kebijakan besar per periode</t>
  </si>
  <si>
    <t>Minimal 3 organisasi dalam 1 periode</t>
  </si>
  <si>
    <t>Minimal 2 universitas dalam 1 periode</t>
  </si>
  <si>
    <t>Minimal 2 kali dalam 1 periode</t>
  </si>
  <si>
    <t>Hitung MoU aktif</t>
  </si>
  <si>
    <t>Evaluasi hasil acara eksternal</t>
  </si>
  <si>
    <t>Survey + data kerja sama</t>
  </si>
  <si>
    <t>Dokumentasi keputusan BPH</t>
  </si>
  <si>
    <t>Kerjasama dalam kegiatan UKM BKM</t>
  </si>
  <si>
    <t>Jumlah kegiatan atau forum yang diikuti</t>
  </si>
  <si>
    <t>Terdapat MoU mitra eksternal 24 Leagues yang berjalan selama 1 periode</t>
  </si>
  <si>
    <t>Dari 4 acara eksternal terdapat 2 acara yang menghasilkan kolaborasi yaitu tim medis pada 24 Leagues dan Donor Darah 2 dengan KSR unit UMM</t>
  </si>
  <si>
    <t>Kerjasama lanjutan yang berjalan terdapat pada tim medis 24 Leagues</t>
  </si>
  <si>
    <t>KPI, kebijakan pengalokasian dana bersama bendum,</t>
  </si>
  <si>
    <t>4 Komunitas baru dan 1 Perusahaan</t>
  </si>
  <si>
    <t>Mengenalkan UKM BKM ke kampus POLBAN</t>
  </si>
  <si>
    <t>Akurasi Laporan Keuangan</t>
  </si>
  <si>
    <t>Efisiensi Penggunaan Anggaran</t>
  </si>
  <si>
    <t>Kecepatan Pelaporan Keuangan</t>
  </si>
  <si>
    <t>Menciptaan kebijakan keuangan</t>
  </si>
  <si>
    <t>Membuat neraca keuangan</t>
  </si>
  <si>
    <t>Menciptakan kebijakan keuangan untuk menaggulangi neraca keuangan</t>
  </si>
  <si>
    <t>100% laporan keuangan akurat.</t>
  </si>
  <si>
    <t>Minimal 90% anggaran digunakan sesuai rencana.</t>
  </si>
  <si>
    <t>Maksimal 5 hari setelah kegiatan selesai.</t>
  </si>
  <si>
    <t>Minimal 1 Kebijakan dalam satu periode</t>
  </si>
  <si>
    <t>Minimal 4 data rekapitulasi dalam 1 periode</t>
  </si>
  <si>
    <t>Minimal 1 kebijakan tiap permasalahan setelah rekapitulasi</t>
  </si>
  <si>
    <t>Audit internal laporan keuangan untuk memeriksa kesalahan atau ketidaksesuaian.</t>
  </si>
  <si>
    <t>Membandingkan pengeluaran aktual dengan anggaran yang direncanakan, dikalikan 100%.</t>
  </si>
  <si>
    <t>Mengukur waktu dari akhir kegiatan hingga laporan keuangan selesai.</t>
  </si>
  <si>
    <t>Adanya kebijakan yang sesuai dengan kondisi keuangan UKM BKM</t>
  </si>
  <si>
    <t>Terukurnya kondisi keuangan terkait uang masuk dan uang keluar</t>
  </si>
  <si>
    <t>Adanya kebijakan yang ditetapkan untuk mengatasi masalah keuangan UKM BKM</t>
  </si>
  <si>
    <t>Tingkat Pengumpulan Kas Bulanan</t>
  </si>
  <si>
    <t>Dukungan Pengelolaan Keuangan</t>
  </si>
  <si>
    <t>Akurasi Data Kas Bulanan</t>
  </si>
  <si>
    <t>Membantu membuat teknis dari kebijakan Bendahara 1</t>
  </si>
  <si>
    <t>Membuat laporan dari neraca keuangan Bendahara 1</t>
  </si>
  <si>
    <t>Membantu membuat teknis dari kebijakan penanggulanagan neraca keuangan</t>
  </si>
  <si>
    <t>Minimal 90% anggota membayar kas tepat waktu.</t>
  </si>
  <si>
    <t>Minimal 95% tugas keuangan selesai tepat waktu.</t>
  </si>
  <si>
    <t>100% data kas bulanan akurat.</t>
  </si>
  <si>
    <t>Terbentuknya teknis kebijakan yang bisa diterapkan</t>
  </si>
  <si>
    <t>Minimal 4 laporan dalam 1 periode</t>
  </si>
  <si>
    <t>Membagi jumlah anggota yang membayar kas tepat waktu dengan total anggota, dikalikan 100%.</t>
  </si>
  <si>
    <t>Membagi jumlah tugas yang selesai tepat waktu dengan total tugas, dikalikan 100%.</t>
  </si>
  <si>
    <t>Audit data kas bulanan untuk memastikan kesesuaian dengan catatan keuangan.</t>
  </si>
  <si>
    <t>Kebijakan yang ditetapkan dapat dilaksanakan</t>
  </si>
  <si>
    <t>Laporan yang dibuat sesuai dengan data dari Bendahara 1 dan telah diarsipkan</t>
  </si>
  <si>
    <t>selesai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</si>
</sst>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font>
      <sz val="11"/>
      <color theme="1"/>
      <name val="Calibri"/>
      <family val="2"/>
      <scheme val="minor"/>
    </font>
    <font>
      <sz val="12"/>
      <color rgb="FFFFFFFF"/>
      <name val="Times New Roman"/>
      <family val="1"/>
    </font>
    <font>
      <i/>
      <sz val="12"/>
      <color theme="1"/>
      <name val="Times New Roman"/>
      <family val="1"/>
    </font>
    <font>
      <sz val="12"/>
      <color theme="1"/>
      <name val="Times New Roman"/>
      <family val="1"/>
    </font>
    <font>
      <b/>
      <sz val="12"/>
      <color theme="1"/>
      <name val="Times New Roman"/>
      <family val="1"/>
    </font>
    <font>
      <sz val="12"/>
      <color rgb="FF434343"/>
      <name val="Times New Roman"/>
      <family val="1"/>
    </font>
    <font>
      <u/>
      <sz val="11"/>
      <color theme="10"/>
      <name val="Calibri"/>
      <family val="2"/>
      <scheme val="minor"/>
    </font>
    <font>
      <i/>
      <sz val="12"/>
      <color rgb="FFFFFFFF"/>
      <name val="Times New Roman"/>
      <family val="1"/>
    </font>
    <font>
      <sz val="11"/>
      <color theme="1"/>
      <name val="Calibri"/>
      <family val="2"/>
      <scheme val="minor"/>
    </font>
    <font>
      <sz val="12"/>
      <name val="Times New Roman"/>
      <family val="1"/>
    </font>
    <font>
      <i/>
      <sz val="12"/>
      <color theme="0"/>
      <name val="Times New Roman"/>
      <family val="1"/>
    </font>
    <font>
      <sz val="12"/>
      <color theme="0"/>
      <name val="Times New Roman"/>
      <family val="1"/>
    </font>
    <font>
      <sz val="11"/>
      <color theme="1"/>
      <name val="Times New Roman"/>
      <family val="1"/>
    </font>
    <font>
      <sz val="12"/>
      <color theme="1"/>
      <name val="Times"/>
    </font>
    <font>
      <sz val="8"/>
      <name val="Calibri"/>
      <family val="2"/>
      <scheme val="minor"/>
    </font>
  </fonts>
  <fills count="7">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theme="0"/>
        <bgColor indexed="64"/>
      </patternFill>
    </fill>
    <fill>
      <patternFill patternType="solid">
        <fgColor theme="7" tint="0.79998168889431442"/>
        <bgColor indexed="64"/>
      </patternFill>
    </fill>
  </fills>
  <borders count="27">
    <border>
      <left/>
      <right/>
      <top/>
      <bottom/>
      <diagonal/>
    </border>
    <border>
      <left style="medium">
        <color rgb="FFCCCCCC"/>
      </left>
      <right style="medium">
        <color rgb="FF356854"/>
      </right>
      <top style="medium">
        <color rgb="FF284E3F"/>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284E3F"/>
      </right>
      <top style="medium">
        <color rgb="FF284E3F"/>
      </top>
      <bottom style="medium">
        <color rgb="FF000000"/>
      </bottom>
      <diagonal/>
    </border>
    <border>
      <left style="medium">
        <color rgb="FF284E3F"/>
      </left>
      <right style="medium">
        <color rgb="FF356854"/>
      </right>
      <top style="medium">
        <color rgb="FF284E3F"/>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diagonal/>
    </border>
    <border>
      <left style="medium">
        <color indexed="64"/>
      </left>
      <right style="medium">
        <color indexed="64"/>
      </right>
      <top style="medium">
        <color indexed="64"/>
      </top>
      <bottom style="medium">
        <color indexed="64"/>
      </bottom>
      <diagonal/>
    </border>
    <border>
      <left style="medium">
        <color rgb="FF284E3F"/>
      </left>
      <right style="medium">
        <color rgb="FF356854"/>
      </right>
      <top style="medium">
        <color rgb="FFCCCCCC"/>
      </top>
      <bottom/>
      <diagonal/>
    </border>
    <border>
      <left style="medium">
        <color rgb="FFCCCCCC"/>
      </left>
      <right style="medium">
        <color rgb="FF356854"/>
      </right>
      <top style="medium">
        <color rgb="FFCCCCCC"/>
      </top>
      <bottom/>
      <diagonal/>
    </border>
    <border>
      <left style="medium">
        <color rgb="FFCCCCCC"/>
      </left>
      <right style="medium">
        <color rgb="FF284E3F"/>
      </right>
      <top style="medium">
        <color rgb="FFCCCCCC"/>
      </top>
      <bottom/>
      <diagonal/>
    </border>
    <border>
      <left style="medium">
        <color rgb="FF356854"/>
      </left>
      <right/>
      <top style="medium">
        <color rgb="FFCCCCCC"/>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CCCCCC"/>
      </top>
      <bottom style="medium">
        <color rgb="FF000000"/>
      </bottom>
      <diagonal/>
    </border>
    <border>
      <left style="medium">
        <color rgb="FFCCCCCC"/>
      </left>
      <right style="medium">
        <color rgb="FF356854"/>
      </right>
      <top style="medium">
        <color rgb="FF284E3F"/>
      </top>
      <bottom/>
      <diagonal/>
    </border>
    <border>
      <left style="medium">
        <color rgb="FF284E3F"/>
      </left>
      <right style="medium">
        <color rgb="FF356854"/>
      </right>
      <top style="medium">
        <color rgb="FF284E3F"/>
      </top>
      <bottom/>
      <diagonal/>
    </border>
    <border>
      <left style="medium">
        <color rgb="FF356854"/>
      </left>
      <right/>
      <top style="medium">
        <color rgb="FF284E3F"/>
      </top>
      <bottom/>
      <diagonal/>
    </border>
    <border>
      <left style="medium">
        <color rgb="FFCCCCCC"/>
      </left>
      <right style="medium">
        <color rgb="FF284E3F"/>
      </right>
      <top style="medium">
        <color rgb="FF284E3F"/>
      </top>
      <bottom/>
      <diagonal/>
    </border>
    <border>
      <left style="medium">
        <color rgb="FFCCCCCC"/>
      </left>
      <right/>
      <top style="medium">
        <color rgb="FFCCCCCC"/>
      </top>
      <bottom style="medium">
        <color rgb="FF000000"/>
      </bottom>
      <diagonal/>
    </border>
    <border>
      <left style="medium">
        <color rgb="FFCCCCCC"/>
      </left>
      <right/>
      <top style="medium">
        <color rgb="FFCCCCCC"/>
      </top>
      <bottom/>
      <diagonal/>
    </border>
    <border>
      <left style="medium">
        <color rgb="FFCCCCCC"/>
      </left>
      <right/>
      <top/>
      <bottom style="medium">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4">
    <xf numFmtId="0" fontId="0" fillId="0" borderId="0"/>
    <xf numFmtId="0" fontId="6" fillId="0" borderId="0" applyNumberFormat="0" applyFill="0" applyBorder="0" applyAlignment="0" applyProtection="0"/>
    <xf numFmtId="43" fontId="8" fillId="0" borderId="0" applyFont="0" applyFill="0" applyBorder="0" applyAlignment="0" applyProtection="0"/>
    <xf numFmtId="9" fontId="8" fillId="0" borderId="0" applyFont="0" applyFill="0" applyBorder="0" applyAlignment="0" applyProtection="0"/>
  </cellStyleXfs>
  <cellXfs count="134">
    <xf numFmtId="0" fontId="0" fillId="0" borderId="0" xfId="0"/>
    <xf numFmtId="0" fontId="1" fillId="2" borderId="1"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0" borderId="0" xfId="0" applyFont="1"/>
    <xf numFmtId="0" fontId="1"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10" fontId="3" fillId="3" borderId="8" xfId="0" applyNumberFormat="1" applyFont="1" applyFill="1" applyBorder="1" applyAlignment="1">
      <alignment horizontal="center" vertical="center" wrapText="1"/>
    </xf>
    <xf numFmtId="0" fontId="6" fillId="3" borderId="8" xfId="1" applyFill="1" applyBorder="1" applyAlignment="1">
      <alignment horizontal="center" vertical="center" wrapText="1"/>
    </xf>
    <xf numFmtId="0" fontId="5" fillId="4"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3" fontId="3" fillId="4" borderId="8" xfId="0" applyNumberFormat="1" applyFont="1" applyFill="1" applyBorder="1" applyAlignment="1">
      <alignment horizontal="center" vertical="center" wrapText="1"/>
    </xf>
    <xf numFmtId="0" fontId="0" fillId="4" borderId="8" xfId="0" applyFill="1" applyBorder="1" applyAlignment="1">
      <alignment vertical="center" wrapText="1"/>
    </xf>
    <xf numFmtId="0" fontId="0" fillId="3" borderId="8" xfId="0" applyFill="1" applyBorder="1" applyAlignment="1">
      <alignment vertical="center" wrapText="1"/>
    </xf>
    <xf numFmtId="0" fontId="6" fillId="4" borderId="8" xfId="1" applyFill="1" applyBorder="1" applyAlignment="1">
      <alignment horizontal="center" vertical="center" wrapText="1"/>
    </xf>
    <xf numFmtId="9" fontId="3" fillId="3" borderId="8" xfId="0" applyNumberFormat="1" applyFont="1" applyFill="1" applyBorder="1" applyAlignment="1">
      <alignment horizontal="center" vertical="center" wrapText="1"/>
    </xf>
    <xf numFmtId="0" fontId="3" fillId="4" borderId="13" xfId="0" applyFont="1" applyFill="1" applyBorder="1" applyAlignment="1">
      <alignment horizontal="center" vertical="center" wrapText="1"/>
    </xf>
    <xf numFmtId="0" fontId="1" fillId="2" borderId="10" xfId="2" applyNumberFormat="1" applyFont="1" applyFill="1" applyBorder="1" applyAlignment="1">
      <alignment horizontal="center" vertical="center" wrapText="1"/>
    </xf>
    <xf numFmtId="0" fontId="0" fillId="0" borderId="0" xfId="2" applyNumberFormat="1" applyFont="1"/>
    <xf numFmtId="0" fontId="9" fillId="3" borderId="8" xfId="2" applyNumberFormat="1"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vertical="center" wrapText="1"/>
    </xf>
    <xf numFmtId="0" fontId="9" fillId="3"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vertical="center" wrapText="1"/>
    </xf>
    <xf numFmtId="0" fontId="9" fillId="4" borderId="3" xfId="0" applyFont="1" applyFill="1" applyBorder="1" applyAlignment="1">
      <alignment horizontal="center" vertical="center" wrapText="1"/>
    </xf>
    <xf numFmtId="0" fontId="9" fillId="3" borderId="7" xfId="0" applyFont="1" applyFill="1" applyBorder="1" applyAlignment="1">
      <alignment vertical="center" wrapText="1"/>
    </xf>
    <xf numFmtId="0" fontId="9" fillId="4" borderId="16" xfId="0" applyFont="1" applyFill="1" applyBorder="1" applyAlignment="1">
      <alignment horizontal="center" vertical="center" wrapText="1"/>
    </xf>
    <xf numFmtId="0" fontId="9" fillId="4" borderId="8" xfId="0" applyFont="1" applyFill="1" applyBorder="1" applyAlignment="1">
      <alignment vertical="center" wrapText="1"/>
    </xf>
    <xf numFmtId="0" fontId="9" fillId="4" borderId="15" xfId="0" applyFont="1" applyFill="1" applyBorder="1" applyAlignment="1">
      <alignment vertical="center" wrapText="1"/>
    </xf>
    <xf numFmtId="0" fontId="9" fillId="4" borderId="8" xfId="0" applyFont="1" applyFill="1" applyBorder="1" applyAlignment="1">
      <alignment horizontal="center" vertical="center" wrapText="1"/>
    </xf>
    <xf numFmtId="0" fontId="9" fillId="3" borderId="6" xfId="0" applyFont="1" applyFill="1" applyBorder="1" applyAlignment="1">
      <alignment vertical="center" wrapText="1"/>
    </xf>
    <xf numFmtId="0" fontId="9" fillId="0" borderId="0" xfId="0" applyFont="1"/>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xf>
    <xf numFmtId="9" fontId="9" fillId="0" borderId="0" xfId="3" applyFont="1"/>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3" fillId="4" borderId="2"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1" fillId="2" borderId="17" xfId="0" applyFont="1" applyFill="1" applyBorder="1" applyAlignment="1">
      <alignment horizontal="center" vertical="center" wrapText="1"/>
    </xf>
    <xf numFmtId="0" fontId="3" fillId="0" borderId="0" xfId="0" applyFont="1" applyAlignment="1">
      <alignment vertical="center"/>
    </xf>
    <xf numFmtId="0" fontId="1" fillId="2" borderId="8" xfId="0" applyFont="1" applyFill="1" applyBorder="1" applyAlignment="1">
      <alignment horizontal="center" vertical="center" wrapText="1"/>
    </xf>
    <xf numFmtId="0" fontId="5" fillId="3" borderId="8" xfId="0" applyFont="1" applyFill="1" applyBorder="1" applyAlignment="1">
      <alignment vertical="center" wrapText="1"/>
    </xf>
    <xf numFmtId="0" fontId="5" fillId="4" borderId="8" xfId="0" applyFont="1" applyFill="1" applyBorder="1" applyAlignment="1">
      <alignment vertical="center" wrapText="1"/>
    </xf>
    <xf numFmtId="0" fontId="3" fillId="0" borderId="8" xfId="0" applyFont="1" applyBorder="1" applyAlignment="1">
      <alignment horizontal="center" vertical="center"/>
    </xf>
    <xf numFmtId="0" fontId="3" fillId="0" borderId="0" xfId="0" applyFont="1" applyAlignment="1">
      <alignment horizontal="center"/>
    </xf>
    <xf numFmtId="0" fontId="3" fillId="0" borderId="8" xfId="0" applyNumberFormat="1" applyFont="1" applyBorder="1" applyAlignment="1">
      <alignment horizontal="center" vertical="center"/>
    </xf>
    <xf numFmtId="0" fontId="5" fillId="3"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3" fontId="3" fillId="3" borderId="14" xfId="0" applyNumberFormat="1" applyFont="1" applyFill="1" applyBorder="1" applyAlignment="1">
      <alignment horizontal="center" vertical="center" wrapText="1"/>
    </xf>
    <xf numFmtId="0" fontId="4" fillId="6" borderId="8" xfId="0" applyFont="1" applyFill="1" applyBorder="1" applyAlignment="1">
      <alignment vertical="center" wrapText="1"/>
    </xf>
    <xf numFmtId="0" fontId="1" fillId="2" borderId="17" xfId="0" applyFont="1" applyFill="1" applyBorder="1" applyAlignment="1">
      <alignment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3" fillId="3" borderId="8" xfId="0" applyFont="1" applyFill="1" applyBorder="1" applyAlignment="1">
      <alignment vertical="center" wrapText="1"/>
    </xf>
    <xf numFmtId="0" fontId="2" fillId="3" borderId="8" xfId="0" applyFont="1" applyFill="1" applyBorder="1" applyAlignment="1">
      <alignment vertical="center" wrapText="1"/>
    </xf>
    <xf numFmtId="0" fontId="3" fillId="4" borderId="8" xfId="0" applyFont="1" applyFill="1" applyBorder="1" applyAlignment="1">
      <alignment vertical="center" wrapText="1"/>
    </xf>
    <xf numFmtId="9" fontId="3" fillId="4" borderId="8" xfId="0" applyNumberFormat="1" applyFont="1" applyFill="1" applyBorder="1" applyAlignment="1">
      <alignment horizontal="center" vertical="center" wrapText="1"/>
    </xf>
    <xf numFmtId="0" fontId="3" fillId="5" borderId="8" xfId="0" applyFont="1" applyFill="1" applyBorder="1" applyAlignment="1">
      <alignment vertical="center" wrapText="1"/>
    </xf>
    <xf numFmtId="9"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6" borderId="8" xfId="0" applyFont="1" applyFill="1" applyBorder="1" applyAlignment="1">
      <alignment vertical="center" wrapText="1"/>
    </xf>
    <xf numFmtId="0" fontId="3" fillId="6" borderId="8" xfId="0" applyFont="1" applyFill="1" applyBorder="1" applyAlignment="1">
      <alignment horizontal="left" vertical="center" wrapText="1"/>
    </xf>
    <xf numFmtId="0" fontId="3" fillId="3" borderId="13" xfId="0" applyFont="1" applyFill="1" applyBorder="1" applyAlignment="1">
      <alignment vertical="center" wrapText="1"/>
    </xf>
    <xf numFmtId="0" fontId="6" fillId="3" borderId="13" xfId="1" applyFill="1" applyBorder="1" applyAlignment="1">
      <alignment vertical="center" wrapText="1"/>
    </xf>
    <xf numFmtId="0" fontId="5" fillId="4" borderId="14" xfId="0" applyFont="1" applyFill="1" applyBorder="1" applyAlignment="1">
      <alignment horizontal="center" vertical="center" wrapText="1"/>
    </xf>
    <xf numFmtId="0" fontId="6" fillId="3" borderId="8" xfId="1" applyFill="1" applyBorder="1" applyAlignment="1">
      <alignment vertical="center" wrapText="1"/>
    </xf>
    <xf numFmtId="0" fontId="0" fillId="0" borderId="0" xfId="0" applyAlignment="1">
      <alignment horizontal="center"/>
    </xf>
    <xf numFmtId="0" fontId="3" fillId="4" borderId="14"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7" fillId="2" borderId="18" xfId="0" applyFont="1" applyFill="1" applyBorder="1" applyAlignment="1">
      <alignment horizontal="center" vertical="center" wrapText="1"/>
    </xf>
    <xf numFmtId="0" fontId="3" fillId="0" borderId="0" xfId="0" applyFont="1" applyBorder="1" applyAlignment="1">
      <alignment horizontal="center" vertical="center"/>
    </xf>
    <xf numFmtId="0" fontId="3" fillId="0" borderId="8" xfId="0" applyFont="1" applyBorder="1" applyAlignment="1">
      <alignment vertical="center"/>
    </xf>
    <xf numFmtId="0" fontId="3" fillId="3" borderId="8" xfId="0" applyFont="1" applyFill="1" applyBorder="1" applyAlignment="1">
      <alignment horizontal="left" vertical="center" wrapText="1"/>
    </xf>
    <xf numFmtId="0" fontId="3" fillId="3" borderId="8" xfId="0" applyNumberFormat="1" applyFont="1" applyFill="1" applyBorder="1" applyAlignment="1">
      <alignment horizontal="center" vertical="center" wrapText="1"/>
    </xf>
    <xf numFmtId="0" fontId="3" fillId="4" borderId="8" xfId="0" applyNumberFormat="1" applyFont="1" applyFill="1" applyBorder="1" applyAlignment="1">
      <alignment horizontal="center" vertical="center" wrapText="1"/>
    </xf>
    <xf numFmtId="0" fontId="3" fillId="5" borderId="8" xfId="0" applyNumberFormat="1"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3" applyNumberFormat="1" applyFont="1" applyFill="1" applyBorder="1" applyAlignment="1">
      <alignment horizontal="center" vertical="center" wrapText="1"/>
    </xf>
    <xf numFmtId="0" fontId="3" fillId="3" borderId="8" xfId="3" applyNumberFormat="1" applyFont="1" applyFill="1" applyBorder="1" applyAlignment="1">
      <alignment horizontal="center" vertical="center" wrapText="1"/>
    </xf>
    <xf numFmtId="0" fontId="3" fillId="4" borderId="8" xfId="3" applyNumberFormat="1" applyFont="1" applyFill="1" applyBorder="1" applyAlignment="1">
      <alignment horizontal="center" vertical="center" wrapText="1"/>
    </xf>
    <xf numFmtId="0" fontId="3" fillId="5" borderId="8" xfId="3" applyNumberFormat="1" applyFont="1" applyFill="1" applyBorder="1" applyAlignment="1">
      <alignment horizontal="center" vertical="center" wrapText="1"/>
    </xf>
    <xf numFmtId="0" fontId="3" fillId="0" borderId="0" xfId="3" applyNumberFormat="1" applyFont="1" applyAlignment="1">
      <alignment horizontal="center"/>
    </xf>
    <xf numFmtId="0" fontId="3" fillId="4" borderId="8" xfId="0" applyNumberFormat="1" applyFont="1" applyFill="1" applyBorder="1" applyAlignment="1">
      <alignment vertical="center" wrapText="1"/>
    </xf>
    <xf numFmtId="0" fontId="3" fillId="5" borderId="8" xfId="0" applyNumberFormat="1" applyFont="1" applyFill="1" applyBorder="1" applyAlignment="1">
      <alignment vertical="center" wrapText="1"/>
    </xf>
    <xf numFmtId="0" fontId="1" fillId="2" borderId="8" xfId="0" applyNumberFormat="1" applyFont="1" applyFill="1" applyBorder="1" applyAlignment="1">
      <alignment horizontal="center" vertical="center" wrapText="1"/>
    </xf>
    <xf numFmtId="0" fontId="5" fillId="3" borderId="14" xfId="0" applyFont="1" applyFill="1" applyBorder="1" applyAlignment="1">
      <alignment horizontal="center" vertical="center" wrapText="1"/>
    </xf>
    <xf numFmtId="0" fontId="3" fillId="3" borderId="21" xfId="0" applyFont="1" applyFill="1" applyBorder="1" applyAlignment="1">
      <alignment vertical="center" wrapText="1"/>
    </xf>
    <xf numFmtId="0" fontId="12" fillId="4" borderId="21" xfId="0" applyFont="1" applyFill="1" applyBorder="1" applyAlignment="1">
      <alignment vertical="center" wrapText="1"/>
    </xf>
    <xf numFmtId="0" fontId="13" fillId="4" borderId="21" xfId="0" applyFont="1" applyFill="1" applyBorder="1" applyAlignment="1">
      <alignment vertical="center" wrapText="1"/>
    </xf>
    <xf numFmtId="0" fontId="3" fillId="4" borderId="21" xfId="0" applyFont="1" applyFill="1" applyBorder="1" applyAlignment="1">
      <alignment vertical="center" wrapText="1"/>
    </xf>
    <xf numFmtId="0" fontId="9" fillId="3" borderId="21" xfId="0" applyFont="1" applyFill="1" applyBorder="1" applyAlignment="1">
      <alignment vertical="center" wrapText="1"/>
    </xf>
    <xf numFmtId="0" fontId="9" fillId="4" borderId="21" xfId="0" applyFont="1" applyFill="1" applyBorder="1" applyAlignment="1">
      <alignment vertical="center" wrapText="1"/>
    </xf>
    <xf numFmtId="0" fontId="9" fillId="3" borderId="22" xfId="0" applyFont="1" applyFill="1" applyBorder="1" applyAlignment="1">
      <alignment vertical="center" wrapText="1"/>
    </xf>
    <xf numFmtId="0" fontId="9" fillId="4" borderId="14" xfId="0" applyFont="1" applyFill="1" applyBorder="1" applyAlignment="1">
      <alignment vertical="center" wrapText="1"/>
    </xf>
    <xf numFmtId="0" fontId="9" fillId="3" borderId="23" xfId="0" applyFont="1" applyFill="1" applyBorder="1" applyAlignment="1">
      <alignment vertical="center" wrapText="1"/>
    </xf>
    <xf numFmtId="0" fontId="9" fillId="3" borderId="24" xfId="0" applyFont="1" applyFill="1" applyBorder="1" applyAlignment="1">
      <alignment horizontal="center" vertical="center" wrapText="1"/>
    </xf>
    <xf numFmtId="9" fontId="11" fillId="2" borderId="17" xfId="3" applyFont="1" applyFill="1" applyBorder="1" applyAlignment="1">
      <alignment horizontal="center" vertical="center" wrapText="1"/>
    </xf>
    <xf numFmtId="0" fontId="9" fillId="0" borderId="8" xfId="0" applyFont="1" applyBorder="1" applyAlignment="1">
      <alignment horizontal="center" vertical="center"/>
    </xf>
    <xf numFmtId="0" fontId="3" fillId="0" borderId="0" xfId="0" applyNumberFormat="1" applyFont="1" applyAlignment="1">
      <alignment horizontal="center" vertical="center"/>
    </xf>
    <xf numFmtId="0" fontId="3" fillId="3" borderId="25" xfId="0" applyFont="1" applyFill="1" applyBorder="1" applyAlignment="1">
      <alignment vertical="center" wrapText="1"/>
    </xf>
    <xf numFmtId="0" fontId="3" fillId="4" borderId="2" xfId="0" applyFont="1" applyFill="1" applyBorder="1" applyAlignment="1">
      <alignment vertical="center" wrapText="1"/>
    </xf>
    <xf numFmtId="0" fontId="3" fillId="3" borderId="2" xfId="0" applyFont="1" applyFill="1" applyBorder="1" applyAlignment="1">
      <alignment vertical="center" wrapText="1"/>
    </xf>
    <xf numFmtId="0" fontId="3" fillId="3" borderId="25" xfId="0" applyFont="1" applyFill="1" applyBorder="1" applyAlignment="1">
      <alignment horizontal="center" vertical="center" wrapText="1"/>
    </xf>
    <xf numFmtId="0" fontId="1" fillId="2" borderId="17" xfId="0" applyFont="1" applyFill="1" applyBorder="1" applyAlignment="1">
      <alignment horizontal="left" vertical="center" wrapText="1"/>
    </xf>
    <xf numFmtId="0" fontId="3" fillId="3" borderId="25"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0" borderId="0" xfId="0" applyFont="1" applyAlignment="1">
      <alignment horizontal="left"/>
    </xf>
    <xf numFmtId="0" fontId="3" fillId="3" borderId="26" xfId="0" applyFont="1" applyFill="1" applyBorder="1" applyAlignment="1">
      <alignment vertical="center" wrapText="1"/>
    </xf>
    <xf numFmtId="0" fontId="3" fillId="4" borderId="16" xfId="0" applyFont="1" applyFill="1" applyBorder="1" applyAlignment="1">
      <alignment vertical="center" wrapText="1"/>
    </xf>
    <xf numFmtId="0" fontId="3" fillId="3" borderId="16" xfId="0" applyFont="1" applyFill="1" applyBorder="1" applyAlignment="1">
      <alignment vertical="center" wrapText="1"/>
    </xf>
    <xf numFmtId="0" fontId="3" fillId="0" borderId="8" xfId="0" applyFont="1" applyBorder="1" applyAlignment="1">
      <alignment horizontal="center" vertical="center" wrapText="1"/>
    </xf>
    <xf numFmtId="0" fontId="5" fillId="3" borderId="2" xfId="0" applyFont="1" applyFill="1" applyBorder="1" applyAlignment="1">
      <alignment vertical="center" wrapText="1"/>
    </xf>
  </cellXfs>
  <cellStyles count="4">
    <cellStyle name="Comma" xfId="2" builtinId="3"/>
    <cellStyle name="Hyperlink" xfId="1" builtinId="8"/>
    <cellStyle name="Normal" xfId="0" builtinId="0"/>
    <cellStyle name="Percent" xfId="3" builtinId="5"/>
  </cellStyles>
  <dxfs count="0"/>
  <tableStyles count="0" defaultTableStyle="TableStyleMedium2" defaultPivotStyle="PivotStyleLight16"/>
  <colors>
    <mruColors>
      <color rgb="FFC82A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ieYbhBH4SfB-Ptm7aI_98bryHip6gg732fpGLY_WML4/edit?usp=sharing" TargetMode="External"/><Relationship Id="rId2" Type="http://schemas.openxmlformats.org/officeDocument/2006/relationships/hyperlink" Target="https://drive.google.com/drive/folders/1NAXww2IDmp8es7im7x6w1txMbvdnwK5e?usp=drive_link" TargetMode="External"/><Relationship Id="rId1" Type="http://schemas.openxmlformats.org/officeDocument/2006/relationships/hyperlink" Target="https://docs.google.com/spreadsheets/d/1Redixa0LPtgHTKKRBiFf8Azb2sbRpISaMpJ9x4Sk89Q/edit?gid=2028782284" TargetMode="External"/><Relationship Id="rId5" Type="http://schemas.openxmlformats.org/officeDocument/2006/relationships/printerSettings" Target="../printerSettings/printerSettings4.bin"/><Relationship Id="rId4" Type="http://schemas.openxmlformats.org/officeDocument/2006/relationships/hyperlink" Target="https://docs.google.com/spreadsheets/d/1ieYbhBH4SfB-Ptm7aI_98bryHip6gg732fpGLY_WML4/edit?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570D-4FB1-40E7-B977-12D1BEAEE8C7}">
  <dimension ref="A1:I8"/>
  <sheetViews>
    <sheetView tabSelected="1" topLeftCell="E1" zoomScale="55" workbookViewId="0">
      <selection activeCell="G8" sqref="G8"/>
    </sheetView>
  </sheetViews>
  <sheetFormatPr defaultColWidth="8.81640625" defaultRowHeight="15.5"/>
  <cols>
    <col min="1" max="1" width="4.08984375" style="63" bestFit="1" customWidth="1"/>
    <col min="2" max="2" width="32.1796875" style="7" customWidth="1"/>
    <col min="3" max="3" width="25.08984375" style="63" customWidth="1"/>
    <col min="4" max="4" width="37.81640625" style="128" customWidth="1"/>
    <col min="5" max="5" width="18.7265625" style="63" bestFit="1" customWidth="1"/>
    <col min="6" max="6" width="12.08984375" style="63" bestFit="1" customWidth="1"/>
    <col min="7" max="7" width="52.453125" style="7" bestFit="1" customWidth="1"/>
    <col min="8" max="8" width="17.7265625" style="102" customWidth="1"/>
    <col min="9" max="9" width="15.6328125" style="7" bestFit="1" customWidth="1"/>
    <col min="10" max="16384" width="8.81640625" style="7"/>
  </cols>
  <sheetData>
    <row r="1" spans="1:9" ht="16" thickBot="1">
      <c r="A1" s="97" t="s">
        <v>6</v>
      </c>
      <c r="B1" s="71" t="s">
        <v>0</v>
      </c>
      <c r="C1" s="57" t="s">
        <v>1</v>
      </c>
      <c r="D1" s="124" t="s">
        <v>2</v>
      </c>
      <c r="E1" s="57" t="s">
        <v>7</v>
      </c>
      <c r="F1" s="57" t="s">
        <v>3</v>
      </c>
      <c r="G1" s="71" t="s">
        <v>61</v>
      </c>
      <c r="H1" s="98" t="s">
        <v>5</v>
      </c>
      <c r="I1" s="73" t="s">
        <v>8</v>
      </c>
    </row>
    <row r="2" spans="1:9" ht="31.5" thickBot="1">
      <c r="A2" s="13">
        <v>1</v>
      </c>
      <c r="B2" s="75" t="s">
        <v>212</v>
      </c>
      <c r="C2" s="120" t="s">
        <v>218</v>
      </c>
      <c r="D2" s="125" t="s">
        <v>225</v>
      </c>
      <c r="E2" s="94">
        <v>3</v>
      </c>
      <c r="F2" s="94">
        <v>1</v>
      </c>
      <c r="G2" s="123" t="s">
        <v>231</v>
      </c>
      <c r="H2" s="99">
        <v>0.33</v>
      </c>
      <c r="I2" s="81">
        <f>IF(H2&gt;80%, 1, 0)</f>
        <v>0</v>
      </c>
    </row>
    <row r="3" spans="1:9" ht="47" thickBot="1">
      <c r="A3" s="17">
        <v>2</v>
      </c>
      <c r="B3" s="76" t="s">
        <v>213</v>
      </c>
      <c r="C3" s="121" t="s">
        <v>219</v>
      </c>
      <c r="D3" s="126" t="s">
        <v>226</v>
      </c>
      <c r="E3" s="95">
        <v>4</v>
      </c>
      <c r="F3" s="95">
        <v>2</v>
      </c>
      <c r="G3" s="54" t="s">
        <v>232</v>
      </c>
      <c r="H3" s="100">
        <v>0.5</v>
      </c>
      <c r="I3" s="70">
        <f t="shared" ref="I3:I8" si="0">IF(H3&gt;80%, 1, 0)</f>
        <v>0</v>
      </c>
    </row>
    <row r="4" spans="1:9" ht="31.5" thickBot="1">
      <c r="A4" s="13">
        <v>3</v>
      </c>
      <c r="B4" s="76" t="s">
        <v>214</v>
      </c>
      <c r="C4" s="122" t="s">
        <v>220</v>
      </c>
      <c r="D4" s="127" t="s">
        <v>227</v>
      </c>
      <c r="E4" s="95">
        <v>2</v>
      </c>
      <c r="F4" s="95">
        <v>1</v>
      </c>
      <c r="G4" s="51" t="s">
        <v>233</v>
      </c>
      <c r="H4" s="100">
        <v>0.5</v>
      </c>
      <c r="I4" s="70"/>
    </row>
    <row r="5" spans="1:9" ht="31.5" thickBot="1">
      <c r="A5" s="17">
        <v>4</v>
      </c>
      <c r="B5" s="76" t="s">
        <v>214</v>
      </c>
      <c r="C5" s="121" t="s">
        <v>221</v>
      </c>
      <c r="D5" s="126" t="s">
        <v>228</v>
      </c>
      <c r="E5" s="96">
        <v>3</v>
      </c>
      <c r="F5" s="96">
        <v>2</v>
      </c>
      <c r="G5" s="54" t="s">
        <v>234</v>
      </c>
      <c r="H5" s="101">
        <v>0.67</v>
      </c>
      <c r="I5" s="70">
        <f t="shared" si="0"/>
        <v>0</v>
      </c>
    </row>
    <row r="6" spans="1:9" ht="31.5" thickBot="1">
      <c r="A6" s="13">
        <v>5</v>
      </c>
      <c r="B6" s="78" t="s">
        <v>215</v>
      </c>
      <c r="C6" s="122" t="s">
        <v>222</v>
      </c>
      <c r="D6" s="127" t="s">
        <v>229</v>
      </c>
      <c r="E6" s="96">
        <v>3</v>
      </c>
      <c r="F6" s="96">
        <v>5</v>
      </c>
      <c r="G6" s="51" t="s">
        <v>235</v>
      </c>
      <c r="H6" s="101">
        <v>1.67</v>
      </c>
      <c r="I6" s="70">
        <f t="shared" si="0"/>
        <v>1</v>
      </c>
    </row>
    <row r="7" spans="1:9" ht="31.5" thickBot="1">
      <c r="A7" s="17">
        <v>6</v>
      </c>
      <c r="B7" s="78" t="s">
        <v>216</v>
      </c>
      <c r="C7" s="121" t="s">
        <v>223</v>
      </c>
      <c r="D7" s="126" t="s">
        <v>229</v>
      </c>
      <c r="E7" s="96">
        <v>2</v>
      </c>
      <c r="F7" s="96">
        <v>1</v>
      </c>
      <c r="G7" s="54" t="s">
        <v>236</v>
      </c>
      <c r="H7" s="101">
        <v>0.5</v>
      </c>
      <c r="I7" s="81">
        <f>IF(H7&gt;80%, 1, 0)</f>
        <v>0</v>
      </c>
    </row>
    <row r="8" spans="1:9" ht="31.5" thickBot="1">
      <c r="A8" s="13">
        <v>7</v>
      </c>
      <c r="B8" s="78" t="s">
        <v>217</v>
      </c>
      <c r="C8" s="122" t="s">
        <v>224</v>
      </c>
      <c r="D8" s="127" t="s">
        <v>230</v>
      </c>
      <c r="E8" s="96">
        <v>2</v>
      </c>
      <c r="F8" s="96">
        <v>1</v>
      </c>
      <c r="G8" s="78"/>
      <c r="H8" s="101">
        <v>0.5</v>
      </c>
      <c r="I8" s="70">
        <f t="shared" si="0"/>
        <v>0</v>
      </c>
    </row>
  </sheetData>
  <conditionalFormatting sqref="I2:I8">
    <cfRule type="iconSet" priority="4">
      <iconSet>
        <cfvo type="percent" val="0"/>
        <cfvo type="num" val="0" gte="0"/>
        <cfvo type="num" val="1"/>
      </iconSet>
    </cfRule>
  </conditionalFormatting>
  <conditionalFormatting sqref="H2">
    <cfRule type="dataBar" priority="5">
      <dataBar>
        <cfvo type="min"/>
        <cfvo type="max"/>
        <color rgb="FFD6007B"/>
      </dataBar>
      <extLst>
        <ext xmlns:x14="http://schemas.microsoft.com/office/spreadsheetml/2009/9/main" uri="{B025F937-C7B1-47D3-B67F-A62EFF666E3E}">
          <x14:id>{B49ED4B0-72DF-4287-BC2D-1AB570BDBB51}</x14:id>
        </ext>
      </extLst>
    </cfRule>
  </conditionalFormatting>
  <conditionalFormatting sqref="H2:H8">
    <cfRule type="dataBar" priority="2">
      <dataBar>
        <cfvo type="min"/>
        <cfvo type="max"/>
        <color rgb="FF63C384"/>
      </dataBar>
      <extLst>
        <ext xmlns:x14="http://schemas.microsoft.com/office/spreadsheetml/2009/9/main" uri="{B025F937-C7B1-47D3-B67F-A62EFF666E3E}">
          <x14:id>{98CEC7CF-B641-401F-ABF4-F896431D231A}</x14:id>
        </ext>
      </extLst>
    </cfRule>
  </conditionalFormatting>
  <conditionalFormatting sqref="H3:H4">
    <cfRule type="dataBar" priority="3">
      <dataBar>
        <cfvo type="min"/>
        <cfvo type="max"/>
        <color rgb="FF63C384"/>
      </dataBar>
      <extLst>
        <ext xmlns:x14="http://schemas.microsoft.com/office/spreadsheetml/2009/9/main" uri="{B025F937-C7B1-47D3-B67F-A62EFF666E3E}">
          <x14:id>{0B4B257B-2E99-48CD-A4D7-CE9D263D2013}</x14:id>
        </ext>
      </extLst>
    </cfRule>
  </conditionalFormatting>
  <conditionalFormatting sqref="H1:H1048576">
    <cfRule type="dataBar" priority="1">
      <dataBar>
        <cfvo type="min"/>
        <cfvo type="max"/>
        <color rgb="FF63C384"/>
      </dataBar>
      <extLst>
        <ext xmlns:x14="http://schemas.microsoft.com/office/spreadsheetml/2009/9/main" uri="{B025F937-C7B1-47D3-B67F-A62EFF666E3E}">
          <x14:id>{C4748B51-3BD5-4A2D-90F9-9AE1A92010BD}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49ED4B0-72DF-4287-BC2D-1AB570BDBB51}">
            <x14:dataBar minLength="0" maxLength="100" gradient="0">
              <x14:cfvo type="autoMin"/>
              <x14:cfvo type="autoMax"/>
              <x14:negativeFillColor rgb="FFFF0000"/>
              <x14:axisColor rgb="FF000000"/>
            </x14:dataBar>
          </x14:cfRule>
          <xm:sqref>H2</xm:sqref>
        </x14:conditionalFormatting>
        <x14:conditionalFormatting xmlns:xm="http://schemas.microsoft.com/office/excel/2006/main">
          <x14:cfRule type="dataBar" id="{98CEC7CF-B641-401F-ABF4-F896431D231A}">
            <x14:dataBar minLength="0" maxLength="100" gradient="0">
              <x14:cfvo type="autoMin"/>
              <x14:cfvo type="autoMax"/>
              <x14:negativeFillColor rgb="FFFF0000"/>
              <x14:axisColor rgb="FF000000"/>
            </x14:dataBar>
          </x14:cfRule>
          <xm:sqref>H2:H8</xm:sqref>
        </x14:conditionalFormatting>
        <x14:conditionalFormatting xmlns:xm="http://schemas.microsoft.com/office/excel/2006/main">
          <x14:cfRule type="dataBar" id="{0B4B257B-2E99-48CD-A4D7-CE9D263D2013}">
            <x14:dataBar minLength="0" maxLength="100" gradient="0">
              <x14:cfvo type="autoMin"/>
              <x14:cfvo type="autoMax"/>
              <x14:negativeFillColor rgb="FFFF0000"/>
              <x14:axisColor rgb="FF000000"/>
            </x14:dataBar>
          </x14:cfRule>
          <xm:sqref>H3:H4</xm:sqref>
        </x14:conditionalFormatting>
        <x14:conditionalFormatting xmlns:xm="http://schemas.microsoft.com/office/excel/2006/main">
          <x14:cfRule type="dataBar" id="{C4748B51-3BD5-4A2D-90F9-9AE1A92010BD}">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3C20-74C7-4953-A0E2-7FEA870E0B5D}">
  <dimension ref="A1:I6"/>
  <sheetViews>
    <sheetView zoomScale="49" zoomScaleNormal="89" workbookViewId="0">
      <selection sqref="A1:XFD1048576"/>
    </sheetView>
  </sheetViews>
  <sheetFormatPr defaultColWidth="8.81640625" defaultRowHeight="15.5"/>
  <cols>
    <col min="1" max="1" width="4" style="55" bestFit="1" customWidth="1"/>
    <col min="2" max="2" width="25.81640625" style="58" customWidth="1"/>
    <col min="3" max="3" width="17.36328125" style="58" customWidth="1"/>
    <col min="4" max="4" width="46.1796875" style="58" customWidth="1"/>
    <col min="5" max="5" width="18.26953125" style="58" bestFit="1" customWidth="1"/>
    <col min="6" max="6" width="12" style="58" bestFit="1" customWidth="1"/>
    <col min="7" max="7" width="52.453125" style="58" bestFit="1" customWidth="1"/>
    <col min="8" max="8" width="17.7265625" style="58" customWidth="1"/>
    <col min="9" max="9" width="15.6328125" style="58" bestFit="1" customWidth="1"/>
    <col min="10" max="16384" width="8.81640625" style="58"/>
  </cols>
  <sheetData>
    <row r="1" spans="1:9" ht="31.5" thickBot="1">
      <c r="A1" s="97" t="s">
        <v>6</v>
      </c>
      <c r="B1" s="71" t="s">
        <v>0</v>
      </c>
      <c r="C1" s="57" t="s">
        <v>1</v>
      </c>
      <c r="D1" s="71" t="s">
        <v>2</v>
      </c>
      <c r="E1" s="57" t="s">
        <v>7</v>
      </c>
      <c r="F1" s="57" t="s">
        <v>3</v>
      </c>
      <c r="G1" s="71" t="s">
        <v>61</v>
      </c>
      <c r="H1" s="72" t="s">
        <v>5</v>
      </c>
      <c r="I1" s="73" t="s">
        <v>8</v>
      </c>
    </row>
    <row r="2" spans="1:9" ht="62.5" customHeight="1" thickBot="1">
      <c r="A2" s="13">
        <v>1</v>
      </c>
      <c r="B2" s="75" t="s">
        <v>4</v>
      </c>
      <c r="C2" s="22">
        <v>0.8</v>
      </c>
      <c r="D2" s="75" t="s">
        <v>60</v>
      </c>
      <c r="E2" s="22">
        <v>0.8</v>
      </c>
      <c r="F2" s="14">
        <v>0.82310000000000005</v>
      </c>
      <c r="G2" s="82" t="s">
        <v>62</v>
      </c>
      <c r="H2" s="94">
        <v>0.82</v>
      </c>
      <c r="I2" s="81">
        <f>IF(H2&gt;80%, 1, 0)</f>
        <v>1</v>
      </c>
    </row>
    <row r="3" spans="1:9" ht="16" thickBot="1">
      <c r="A3" s="17">
        <v>2</v>
      </c>
      <c r="B3" s="76" t="s">
        <v>9</v>
      </c>
      <c r="C3" s="77">
        <v>0.95</v>
      </c>
      <c r="D3" s="76" t="s">
        <v>10</v>
      </c>
      <c r="E3" s="17">
        <v>3</v>
      </c>
      <c r="F3" s="17">
        <v>3</v>
      </c>
      <c r="G3" s="76"/>
      <c r="H3" s="103">
        <v>0.97</v>
      </c>
      <c r="I3" s="70">
        <f t="shared" ref="I3:I6" si="0">IF(H3&gt;80%, 1, 0)</f>
        <v>1</v>
      </c>
    </row>
    <row r="4" spans="1:9" ht="31.5" thickBot="1">
      <c r="A4" s="80">
        <v>3</v>
      </c>
      <c r="B4" s="78" t="s">
        <v>11</v>
      </c>
      <c r="C4" s="79">
        <v>1</v>
      </c>
      <c r="D4" s="78" t="s">
        <v>12</v>
      </c>
      <c r="E4" s="80" t="s">
        <v>13</v>
      </c>
      <c r="F4" s="80" t="s">
        <v>13</v>
      </c>
      <c r="G4" s="78"/>
      <c r="H4" s="104">
        <v>1</v>
      </c>
      <c r="I4" s="70">
        <f t="shared" si="0"/>
        <v>1</v>
      </c>
    </row>
    <row r="5" spans="1:9" ht="31.5" thickBot="1">
      <c r="A5" s="80">
        <v>4</v>
      </c>
      <c r="B5" s="78" t="s">
        <v>14</v>
      </c>
      <c r="C5" s="79">
        <v>1</v>
      </c>
      <c r="D5" s="78" t="s">
        <v>15</v>
      </c>
      <c r="E5" s="80" t="s">
        <v>13</v>
      </c>
      <c r="F5" s="80" t="s">
        <v>13</v>
      </c>
      <c r="G5" s="78"/>
      <c r="H5" s="104">
        <v>1</v>
      </c>
      <c r="I5" s="70">
        <f t="shared" si="0"/>
        <v>1</v>
      </c>
    </row>
    <row r="6" spans="1:9" ht="93.5" thickBot="1">
      <c r="A6" s="80">
        <v>5</v>
      </c>
      <c r="B6" s="78" t="s">
        <v>16</v>
      </c>
      <c r="C6" s="78" t="s">
        <v>17</v>
      </c>
      <c r="D6" s="78" t="s">
        <v>18</v>
      </c>
      <c r="E6" s="80">
        <v>4</v>
      </c>
      <c r="F6" s="80">
        <v>0</v>
      </c>
      <c r="G6" s="78" t="s">
        <v>63</v>
      </c>
      <c r="H6" s="104">
        <v>0</v>
      </c>
      <c r="I6" s="81">
        <f t="shared" si="0"/>
        <v>0</v>
      </c>
    </row>
  </sheetData>
  <conditionalFormatting sqref="I2:I6">
    <cfRule type="iconSet" priority="7">
      <iconSet>
        <cfvo type="percent" val="0"/>
        <cfvo type="num" val="0" gte="0"/>
        <cfvo type="num" val="1"/>
      </iconSet>
    </cfRule>
  </conditionalFormatting>
  <conditionalFormatting sqref="H2">
    <cfRule type="dataBar" priority="14">
      <dataBar>
        <cfvo type="min"/>
        <cfvo type="max"/>
        <color rgb="FFD6007B"/>
      </dataBar>
      <extLst>
        <ext xmlns:x14="http://schemas.microsoft.com/office/spreadsheetml/2009/9/main" uri="{B025F937-C7B1-47D3-B67F-A62EFF666E3E}">
          <x14:id>{CDE6AEB3-C1F0-4190-A038-7951E6604D5B}</x14:id>
        </ext>
      </extLst>
    </cfRule>
  </conditionalFormatting>
  <conditionalFormatting sqref="H2:H6">
    <cfRule type="dataBar" priority="1">
      <dataBar>
        <cfvo type="min"/>
        <cfvo type="max"/>
        <color rgb="FF63C384"/>
      </dataBar>
      <extLst>
        <ext xmlns:x14="http://schemas.microsoft.com/office/spreadsheetml/2009/9/main" uri="{B025F937-C7B1-47D3-B67F-A62EFF666E3E}">
          <x14:id>{6F86B724-218E-49CC-86ED-896039508DCB}</x14:id>
        </ext>
      </extLst>
    </cfRule>
  </conditionalFormatting>
  <conditionalFormatting sqref="H3">
    <cfRule type="dataBar" priority="3">
      <dataBar>
        <cfvo type="min"/>
        <cfvo type="max"/>
        <color rgb="FF63C384"/>
      </dataBar>
      <extLst>
        <ext xmlns:x14="http://schemas.microsoft.com/office/spreadsheetml/2009/9/main" uri="{B025F937-C7B1-47D3-B67F-A62EFF666E3E}">
          <x14:id>{D42A3E11-7225-40A2-9D39-1CA65022AEDB}</x14:id>
        </ext>
      </extLst>
    </cfRule>
  </conditionalFormatting>
  <conditionalFormatting sqref="H1:H1048576">
    <cfRule type="dataBar" priority="2">
      <dataBar>
        <cfvo type="min"/>
        <cfvo type="max"/>
        <color rgb="FF63C384"/>
      </dataBar>
      <extLst>
        <ext xmlns:x14="http://schemas.microsoft.com/office/spreadsheetml/2009/9/main" uri="{B025F937-C7B1-47D3-B67F-A62EFF666E3E}">
          <x14:id>{5C073164-D212-4F65-8AB2-0177B3385BC0}</x14:id>
        </ext>
      </extLst>
    </cfRule>
  </conditionalFormatting>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CDE6AEB3-C1F0-4190-A038-7951E6604D5B}">
            <x14:dataBar minLength="0" maxLength="100" gradient="0">
              <x14:cfvo type="autoMin"/>
              <x14:cfvo type="autoMax"/>
              <x14:negativeFillColor rgb="FFFF0000"/>
              <x14:axisColor rgb="FF000000"/>
            </x14:dataBar>
          </x14:cfRule>
          <xm:sqref>H2</xm:sqref>
        </x14:conditionalFormatting>
        <x14:conditionalFormatting xmlns:xm="http://schemas.microsoft.com/office/excel/2006/main">
          <x14:cfRule type="dataBar" id="{6F86B724-218E-49CC-86ED-896039508DCB}">
            <x14:dataBar minLength="0" maxLength="100" gradient="0">
              <x14:cfvo type="autoMin"/>
              <x14:cfvo type="autoMax"/>
              <x14:negativeFillColor rgb="FFFF0000"/>
              <x14:axisColor rgb="FF000000"/>
            </x14:dataBar>
          </x14:cfRule>
          <xm:sqref>H2:H6</xm:sqref>
        </x14:conditionalFormatting>
        <x14:conditionalFormatting xmlns:xm="http://schemas.microsoft.com/office/excel/2006/main">
          <x14:cfRule type="dataBar" id="{D42A3E11-7225-40A2-9D39-1CA65022AEDB}">
            <x14:dataBar minLength="0" maxLength="100" gradient="0">
              <x14:cfvo type="autoMin"/>
              <x14:cfvo type="autoMax"/>
              <x14:negativeFillColor rgb="FFFF0000"/>
              <x14:axisColor rgb="FF000000"/>
            </x14:dataBar>
          </x14:cfRule>
          <xm:sqref>H3</xm:sqref>
        </x14:conditionalFormatting>
        <x14:conditionalFormatting xmlns:xm="http://schemas.microsoft.com/office/excel/2006/main">
          <x14:cfRule type="dataBar" id="{5C073164-D212-4F65-8AB2-0177B3385BC0}">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5E14-168B-408C-8668-A69ECB234F1D}">
  <dimension ref="A1:I6"/>
  <sheetViews>
    <sheetView zoomScale="62" workbookViewId="0">
      <selection sqref="A1:XFD1048576"/>
    </sheetView>
  </sheetViews>
  <sheetFormatPr defaultColWidth="8.81640625" defaultRowHeight="15.5"/>
  <cols>
    <col min="1" max="1" width="4.08984375" style="63" bestFit="1" customWidth="1"/>
    <col min="2" max="2" width="25.81640625" style="7" customWidth="1"/>
    <col min="3" max="3" width="17.36328125" style="63" customWidth="1"/>
    <col min="4" max="4" width="46.1796875" style="7" customWidth="1"/>
    <col min="5" max="5" width="18.7265625" style="63" bestFit="1" customWidth="1"/>
    <col min="6" max="6" width="12.08984375" style="63" bestFit="1" customWidth="1"/>
    <col min="7" max="7" width="52.453125" style="7" bestFit="1" customWidth="1"/>
    <col min="8" max="8" width="17.7265625" style="102" customWidth="1"/>
    <col min="9" max="9" width="15.6328125" style="7" bestFit="1" customWidth="1"/>
    <col min="10" max="16384" width="8.81640625" style="7"/>
  </cols>
  <sheetData>
    <row r="1" spans="1:9" ht="31.5" thickBot="1">
      <c r="A1" s="97" t="s">
        <v>6</v>
      </c>
      <c r="B1" s="71" t="s">
        <v>0</v>
      </c>
      <c r="C1" s="57" t="s">
        <v>1</v>
      </c>
      <c r="D1" s="71" t="s">
        <v>2</v>
      </c>
      <c r="E1" s="57" t="s">
        <v>7</v>
      </c>
      <c r="F1" s="57" t="s">
        <v>3</v>
      </c>
      <c r="G1" s="71" t="s">
        <v>61</v>
      </c>
      <c r="H1" s="98" t="s">
        <v>5</v>
      </c>
      <c r="I1" s="73" t="s">
        <v>8</v>
      </c>
    </row>
    <row r="2" spans="1:9" ht="62.5" customHeight="1" thickBot="1">
      <c r="A2" s="13">
        <v>1</v>
      </c>
      <c r="B2" s="75" t="s">
        <v>206</v>
      </c>
      <c r="C2" s="22">
        <v>0.9</v>
      </c>
      <c r="D2" s="75" t="s">
        <v>207</v>
      </c>
      <c r="E2" s="94">
        <v>1662</v>
      </c>
      <c r="F2" s="94">
        <v>1663</v>
      </c>
      <c r="G2" s="82"/>
      <c r="H2" s="99">
        <v>0.96</v>
      </c>
      <c r="I2" s="81">
        <f>IF(H2&gt;80%, 1, 0)</f>
        <v>1</v>
      </c>
    </row>
    <row r="3" spans="1:9" ht="47" thickBot="1">
      <c r="A3" s="17">
        <v>2</v>
      </c>
      <c r="B3" s="76" t="s">
        <v>208</v>
      </c>
      <c r="C3" s="22">
        <v>0.9</v>
      </c>
      <c r="D3" s="76" t="s">
        <v>207</v>
      </c>
      <c r="E3" s="95">
        <v>831</v>
      </c>
      <c r="F3" s="95">
        <v>831</v>
      </c>
      <c r="G3" s="76"/>
      <c r="H3" s="100">
        <v>1</v>
      </c>
      <c r="I3" s="70">
        <f t="shared" ref="I3:I5" si="0">IF(H3&gt;80%, 1, 0)</f>
        <v>1</v>
      </c>
    </row>
    <row r="4" spans="1:9" ht="62.5" thickBot="1">
      <c r="A4" s="80">
        <v>3</v>
      </c>
      <c r="B4" s="78" t="s">
        <v>209</v>
      </c>
      <c r="C4" s="22">
        <v>0.9</v>
      </c>
      <c r="D4" s="78" t="s">
        <v>210</v>
      </c>
      <c r="E4" s="96">
        <v>33</v>
      </c>
      <c r="F4" s="96">
        <v>12</v>
      </c>
      <c r="G4" s="78"/>
      <c r="H4" s="101">
        <v>0.36</v>
      </c>
      <c r="I4" s="70">
        <f t="shared" si="0"/>
        <v>0</v>
      </c>
    </row>
    <row r="5" spans="1:9" ht="62.5" thickBot="1">
      <c r="A5" s="80">
        <v>4</v>
      </c>
      <c r="B5" s="78" t="s">
        <v>211</v>
      </c>
      <c r="C5" s="22">
        <v>0.9</v>
      </c>
      <c r="D5" s="78" t="s">
        <v>207</v>
      </c>
      <c r="E5" s="96">
        <v>190</v>
      </c>
      <c r="F5" s="96">
        <v>189</v>
      </c>
      <c r="G5" s="78"/>
      <c r="H5" s="101">
        <v>0.99</v>
      </c>
      <c r="I5" s="70">
        <f t="shared" si="0"/>
        <v>1</v>
      </c>
    </row>
    <row r="6" spans="1:9" ht="16" thickBot="1">
      <c r="A6" s="80"/>
      <c r="B6" s="78"/>
      <c r="C6" s="80"/>
      <c r="D6" s="78"/>
      <c r="E6" s="96"/>
      <c r="F6" s="96"/>
      <c r="G6" s="78"/>
      <c r="H6" s="101"/>
      <c r="I6" s="81"/>
    </row>
  </sheetData>
  <conditionalFormatting sqref="I2:I6">
    <cfRule type="iconSet" priority="5">
      <iconSet>
        <cfvo type="percent" val="0"/>
        <cfvo type="num" val="0" gte="0"/>
        <cfvo type="num" val="1"/>
      </iconSet>
    </cfRule>
  </conditionalFormatting>
  <conditionalFormatting sqref="H2">
    <cfRule type="dataBar" priority="6">
      <dataBar>
        <cfvo type="min"/>
        <cfvo type="max"/>
        <color rgb="FFD6007B"/>
      </dataBar>
      <extLst>
        <ext xmlns:x14="http://schemas.microsoft.com/office/spreadsheetml/2009/9/main" uri="{B025F937-C7B1-47D3-B67F-A62EFF666E3E}">
          <x14:id>{3FFEEA14-BA4F-4972-BF94-BF13D4A470D0}</x14:id>
        </ext>
      </extLst>
    </cfRule>
  </conditionalFormatting>
  <conditionalFormatting sqref="H2:H6">
    <cfRule type="dataBar" priority="2">
      <dataBar>
        <cfvo type="min"/>
        <cfvo type="max"/>
        <color rgb="FF63C384"/>
      </dataBar>
      <extLst>
        <ext xmlns:x14="http://schemas.microsoft.com/office/spreadsheetml/2009/9/main" uri="{B025F937-C7B1-47D3-B67F-A62EFF666E3E}">
          <x14:id>{61A139BB-60B9-4BE5-84C1-05C913510433}</x14:id>
        </ext>
      </extLst>
    </cfRule>
  </conditionalFormatting>
  <conditionalFormatting sqref="H3">
    <cfRule type="dataBar" priority="4">
      <dataBar>
        <cfvo type="min"/>
        <cfvo type="max"/>
        <color rgb="FF63C384"/>
      </dataBar>
      <extLst>
        <ext xmlns:x14="http://schemas.microsoft.com/office/spreadsheetml/2009/9/main" uri="{B025F937-C7B1-47D3-B67F-A62EFF666E3E}">
          <x14:id>{31B6C319-3A9F-4DF6-8078-656DCDBF7053}</x14:id>
        </ext>
      </extLst>
    </cfRule>
  </conditionalFormatting>
  <conditionalFormatting sqref="H1:H1048576">
    <cfRule type="dataBar" priority="1">
      <dataBar>
        <cfvo type="min"/>
        <cfvo type="max"/>
        <color rgb="FF63C384"/>
      </dataBar>
      <extLst>
        <ext xmlns:x14="http://schemas.microsoft.com/office/spreadsheetml/2009/9/main" uri="{B025F937-C7B1-47D3-B67F-A62EFF666E3E}">
          <x14:id>{F238CE5E-751D-466C-9CBD-E7CA1381B551}</x14:id>
        </ext>
      </extLst>
    </cfRule>
  </conditionalFormatting>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dataBar" id="{3FFEEA14-BA4F-4972-BF94-BF13D4A470D0}">
            <x14:dataBar minLength="0" maxLength="100" gradient="0">
              <x14:cfvo type="autoMin"/>
              <x14:cfvo type="autoMax"/>
              <x14:negativeFillColor rgb="FFFF0000"/>
              <x14:axisColor rgb="FF000000"/>
            </x14:dataBar>
          </x14:cfRule>
          <xm:sqref>H2</xm:sqref>
        </x14:conditionalFormatting>
        <x14:conditionalFormatting xmlns:xm="http://schemas.microsoft.com/office/excel/2006/main">
          <x14:cfRule type="dataBar" id="{61A139BB-60B9-4BE5-84C1-05C913510433}">
            <x14:dataBar minLength="0" maxLength="100" gradient="0">
              <x14:cfvo type="autoMin"/>
              <x14:cfvo type="autoMax"/>
              <x14:negativeFillColor rgb="FFFF0000"/>
              <x14:axisColor rgb="FF000000"/>
            </x14:dataBar>
          </x14:cfRule>
          <xm:sqref>H2:H6</xm:sqref>
        </x14:conditionalFormatting>
        <x14:conditionalFormatting xmlns:xm="http://schemas.microsoft.com/office/excel/2006/main">
          <x14:cfRule type="dataBar" id="{31B6C319-3A9F-4DF6-8078-656DCDBF7053}">
            <x14:dataBar minLength="0" maxLength="100" gradient="0">
              <x14:cfvo type="autoMin"/>
              <x14:cfvo type="autoMax"/>
              <x14:negativeFillColor rgb="FFFF0000"/>
              <x14:axisColor rgb="FF000000"/>
            </x14:dataBar>
          </x14:cfRule>
          <xm:sqref>H3</xm:sqref>
        </x14:conditionalFormatting>
        <x14:conditionalFormatting xmlns:xm="http://schemas.microsoft.com/office/excel/2006/main">
          <x14:cfRule type="dataBar" id="{F238CE5E-751D-466C-9CBD-E7CA1381B551}">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1E8E2-FD76-4326-A7A9-50956034F348}">
  <dimension ref="A1:I15"/>
  <sheetViews>
    <sheetView zoomScale="53" workbookViewId="0">
      <selection activeCell="C6" sqref="C6"/>
    </sheetView>
  </sheetViews>
  <sheetFormatPr defaultRowHeight="15.5"/>
  <cols>
    <col min="1" max="1" width="3.453125" style="55" bestFit="1" customWidth="1"/>
    <col min="2" max="2" width="29.54296875" style="7" customWidth="1"/>
    <col min="3" max="3" width="34.90625" style="7" customWidth="1"/>
    <col min="4" max="4" width="38.1796875" style="7" customWidth="1"/>
    <col min="5" max="5" width="17" style="55" customWidth="1"/>
    <col min="6" max="7" width="16.81640625" style="55" customWidth="1"/>
    <col min="8" max="8" width="12.6328125" style="119" customWidth="1"/>
    <col min="9" max="9" width="8.7265625" style="63"/>
    <col min="10" max="16384" width="8.7265625" style="7"/>
  </cols>
  <sheetData>
    <row r="1" spans="1:9" ht="16" thickBot="1">
      <c r="A1" s="59" t="s">
        <v>6</v>
      </c>
      <c r="B1" s="59" t="s">
        <v>0</v>
      </c>
      <c r="C1" s="59" t="s">
        <v>1</v>
      </c>
      <c r="D1" s="59" t="s">
        <v>19</v>
      </c>
      <c r="E1" s="59" t="s">
        <v>64</v>
      </c>
      <c r="F1" s="59" t="s">
        <v>3</v>
      </c>
      <c r="G1" s="59" t="s">
        <v>61</v>
      </c>
      <c r="H1" s="105" t="s">
        <v>5</v>
      </c>
      <c r="I1" s="59" t="s">
        <v>20</v>
      </c>
    </row>
    <row r="2" spans="1:9" ht="47" thickBot="1">
      <c r="A2" s="62">
        <v>1</v>
      </c>
      <c r="B2" s="120" t="s">
        <v>237</v>
      </c>
      <c r="C2" s="120" t="s">
        <v>243</v>
      </c>
      <c r="D2" s="129" t="s">
        <v>249</v>
      </c>
      <c r="E2" s="132" t="s">
        <v>13</v>
      </c>
      <c r="F2" s="132" t="s">
        <v>13</v>
      </c>
      <c r="G2" s="62"/>
      <c r="H2" s="62">
        <v>1</v>
      </c>
      <c r="I2" s="62">
        <f>IF(H2&gt;=100, 1, 0)</f>
        <v>0</v>
      </c>
    </row>
    <row r="3" spans="1:9" ht="47" thickBot="1">
      <c r="A3" s="62">
        <v>2</v>
      </c>
      <c r="B3" s="121" t="s">
        <v>238</v>
      </c>
      <c r="C3" s="121" t="s">
        <v>244</v>
      </c>
      <c r="D3" s="130" t="s">
        <v>250</v>
      </c>
      <c r="E3" s="132">
        <v>9</v>
      </c>
      <c r="F3" s="132">
        <v>2</v>
      </c>
      <c r="G3" s="62"/>
      <c r="H3" s="62">
        <v>0.2</v>
      </c>
      <c r="I3" s="62">
        <f t="shared" ref="I3:I15" si="0">IF(H3&gt;=100, 1, 0)</f>
        <v>0</v>
      </c>
    </row>
    <row r="4" spans="1:9" ht="31.5" thickBot="1">
      <c r="A4" s="62">
        <v>3</v>
      </c>
      <c r="B4" s="122" t="s">
        <v>239</v>
      </c>
      <c r="C4" s="122" t="s">
        <v>245</v>
      </c>
      <c r="D4" s="131" t="s">
        <v>251</v>
      </c>
      <c r="E4" s="132">
        <v>15</v>
      </c>
      <c r="F4" s="132">
        <v>15</v>
      </c>
      <c r="G4" s="62"/>
      <c r="H4" s="62">
        <v>1</v>
      </c>
      <c r="I4" s="62">
        <f t="shared" si="0"/>
        <v>0</v>
      </c>
    </row>
    <row r="5" spans="1:9" ht="31.5" thickBot="1">
      <c r="A5" s="62">
        <v>4</v>
      </c>
      <c r="B5" s="121" t="s">
        <v>240</v>
      </c>
      <c r="C5" s="121" t="s">
        <v>246</v>
      </c>
      <c r="D5" s="130" t="s">
        <v>252</v>
      </c>
      <c r="E5" s="132">
        <v>1</v>
      </c>
      <c r="F5" s="132">
        <v>1</v>
      </c>
      <c r="G5" s="62"/>
      <c r="H5" s="62">
        <v>1</v>
      </c>
      <c r="I5" s="62">
        <f t="shared" si="0"/>
        <v>0</v>
      </c>
    </row>
    <row r="6" spans="1:9" ht="31.5" thickBot="1">
      <c r="A6" s="62">
        <v>5</v>
      </c>
      <c r="B6" s="122" t="s">
        <v>241</v>
      </c>
      <c r="C6" s="122" t="s">
        <v>247</v>
      </c>
      <c r="D6" s="131" t="s">
        <v>253</v>
      </c>
      <c r="E6" s="132">
        <v>4</v>
      </c>
      <c r="F6" s="132">
        <v>4</v>
      </c>
      <c r="G6" s="62"/>
      <c r="H6" s="62">
        <v>1</v>
      </c>
      <c r="I6" s="62">
        <f t="shared" si="0"/>
        <v>0</v>
      </c>
    </row>
    <row r="7" spans="1:9" ht="47" thickBot="1">
      <c r="A7" s="62">
        <v>6</v>
      </c>
      <c r="B7" s="121" t="s">
        <v>242</v>
      </c>
      <c r="C7" s="121" t="s">
        <v>248</v>
      </c>
      <c r="D7" s="130" t="s">
        <v>254</v>
      </c>
      <c r="E7" s="132">
        <v>1</v>
      </c>
      <c r="F7" s="132">
        <v>1</v>
      </c>
      <c r="G7" s="62"/>
      <c r="H7" s="62">
        <v>1</v>
      </c>
      <c r="I7" s="62">
        <f t="shared" si="0"/>
        <v>0</v>
      </c>
    </row>
    <row r="8" spans="1:9" ht="47" thickBot="1">
      <c r="A8" s="62">
        <v>7</v>
      </c>
      <c r="B8" s="120" t="s">
        <v>255</v>
      </c>
      <c r="C8" s="120" t="s">
        <v>261</v>
      </c>
      <c r="D8" s="129" t="s">
        <v>266</v>
      </c>
      <c r="E8" s="132">
        <v>4.4000000000000004</v>
      </c>
      <c r="F8" s="132">
        <v>3.63</v>
      </c>
      <c r="G8" s="62"/>
      <c r="H8" s="62">
        <v>1</v>
      </c>
      <c r="I8" s="62">
        <f t="shared" si="0"/>
        <v>0</v>
      </c>
    </row>
    <row r="9" spans="1:9" ht="47" thickBot="1">
      <c r="A9" s="62">
        <v>8</v>
      </c>
      <c r="B9" s="121" t="s">
        <v>256</v>
      </c>
      <c r="C9" s="121" t="s">
        <v>262</v>
      </c>
      <c r="D9" s="130" t="s">
        <v>267</v>
      </c>
      <c r="E9" s="132" t="s">
        <v>271</v>
      </c>
      <c r="F9" s="132" t="s">
        <v>271</v>
      </c>
      <c r="G9" s="62"/>
      <c r="H9" s="62">
        <v>1</v>
      </c>
      <c r="I9" s="62">
        <f t="shared" si="0"/>
        <v>0</v>
      </c>
    </row>
    <row r="10" spans="1:9" ht="31.5" thickBot="1">
      <c r="A10" s="62">
        <v>9</v>
      </c>
      <c r="B10" s="122" t="s">
        <v>257</v>
      </c>
      <c r="C10" s="122" t="s">
        <v>263</v>
      </c>
      <c r="D10" s="131" t="s">
        <v>268</v>
      </c>
      <c r="E10" s="132">
        <v>1</v>
      </c>
      <c r="F10" s="132">
        <v>1</v>
      </c>
      <c r="G10" s="62"/>
      <c r="H10" s="62">
        <v>1</v>
      </c>
      <c r="I10" s="62">
        <f t="shared" si="0"/>
        <v>0</v>
      </c>
    </row>
    <row r="11" spans="1:9" ht="31.5" thickBot="1">
      <c r="A11" s="62">
        <v>10</v>
      </c>
      <c r="B11" s="121" t="s">
        <v>258</v>
      </c>
      <c r="C11" s="121" t="s">
        <v>264</v>
      </c>
      <c r="D11" s="130" t="s">
        <v>269</v>
      </c>
      <c r="E11" s="132">
        <v>1</v>
      </c>
      <c r="F11" s="132">
        <v>1</v>
      </c>
      <c r="G11" s="62"/>
      <c r="H11" s="62">
        <v>1</v>
      </c>
      <c r="I11" s="62">
        <f t="shared" si="0"/>
        <v>0</v>
      </c>
    </row>
    <row r="12" spans="1:9" ht="31.5" thickBot="1">
      <c r="A12" s="62">
        <v>11</v>
      </c>
      <c r="B12" s="133" t="s">
        <v>259</v>
      </c>
      <c r="C12" s="122" t="s">
        <v>265</v>
      </c>
      <c r="D12" s="131" t="s">
        <v>270</v>
      </c>
      <c r="E12" s="132">
        <v>1</v>
      </c>
      <c r="F12" s="132">
        <v>1</v>
      </c>
      <c r="G12" s="62"/>
      <c r="H12" s="62">
        <v>1</v>
      </c>
      <c r="I12" s="62">
        <f t="shared" si="0"/>
        <v>0</v>
      </c>
    </row>
    <row r="13" spans="1:9" ht="47" thickBot="1">
      <c r="A13" s="62">
        <v>12</v>
      </c>
      <c r="B13" s="121" t="s">
        <v>260</v>
      </c>
      <c r="C13" s="121" t="s">
        <v>264</v>
      </c>
      <c r="D13" s="130" t="s">
        <v>269</v>
      </c>
      <c r="E13" s="132">
        <v>1</v>
      </c>
      <c r="F13" s="132">
        <v>1</v>
      </c>
      <c r="G13" s="62"/>
      <c r="H13" s="62">
        <v>1</v>
      </c>
      <c r="I13" s="62">
        <f t="shared" si="0"/>
        <v>0</v>
      </c>
    </row>
    <row r="14" spans="1:9" ht="16" thickBot="1">
      <c r="A14" s="62"/>
      <c r="B14" s="60"/>
      <c r="C14" s="60"/>
      <c r="D14" s="60"/>
      <c r="E14" s="62"/>
      <c r="F14" s="62"/>
      <c r="G14" s="62"/>
      <c r="H14" s="62"/>
      <c r="I14" s="62"/>
    </row>
    <row r="15" spans="1:9" ht="16" thickBot="1">
      <c r="A15" s="62"/>
      <c r="B15" s="61"/>
      <c r="C15" s="61"/>
      <c r="D15" s="61"/>
      <c r="E15" s="64"/>
      <c r="F15" s="62"/>
      <c r="G15" s="62"/>
      <c r="H15" s="62"/>
      <c r="I15" s="62"/>
    </row>
  </sheetData>
  <conditionalFormatting sqref="I2:I15">
    <cfRule type="iconSet" priority="1">
      <iconSet>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CC88-48AB-4036-A09F-774E2C44CA00}">
  <dimension ref="A1:I15"/>
  <sheetViews>
    <sheetView zoomScale="85" zoomScaleNormal="52" workbookViewId="0">
      <selection sqref="A1:XFD1048576"/>
    </sheetView>
  </sheetViews>
  <sheetFormatPr defaultRowHeight="15.5"/>
  <cols>
    <col min="1" max="1" width="3.453125" style="55" bestFit="1" customWidth="1"/>
    <col min="2" max="2" width="29.54296875" style="7" customWidth="1"/>
    <col min="3" max="3" width="34.90625" style="7" customWidth="1"/>
    <col min="4" max="4" width="38.1796875" style="7" customWidth="1"/>
    <col min="5" max="5" width="17" style="55" customWidth="1"/>
    <col min="6" max="7" width="16.81640625" style="55" customWidth="1"/>
    <col min="8" max="8" width="12.6328125" style="119" customWidth="1"/>
    <col min="9" max="9" width="8.7265625" style="63"/>
    <col min="10" max="16384" width="8.7265625" style="7"/>
  </cols>
  <sheetData>
    <row r="1" spans="1:9" ht="16" thickBot="1">
      <c r="A1" s="59" t="s">
        <v>6</v>
      </c>
      <c r="B1" s="59" t="s">
        <v>0</v>
      </c>
      <c r="C1" s="59" t="s">
        <v>1</v>
      </c>
      <c r="D1" s="59" t="s">
        <v>19</v>
      </c>
      <c r="E1" s="59" t="s">
        <v>64</v>
      </c>
      <c r="F1" s="59" t="s">
        <v>3</v>
      </c>
      <c r="G1" s="59" t="s">
        <v>61</v>
      </c>
      <c r="H1" s="105" t="s">
        <v>5</v>
      </c>
      <c r="I1" s="59" t="s">
        <v>20</v>
      </c>
    </row>
    <row r="2" spans="1:9" ht="16" thickBot="1">
      <c r="A2" s="62">
        <v>1</v>
      </c>
      <c r="B2" s="60" t="s">
        <v>166</v>
      </c>
      <c r="C2" s="60" t="s">
        <v>167</v>
      </c>
      <c r="D2" s="60" t="s">
        <v>168</v>
      </c>
      <c r="E2" s="62">
        <v>5</v>
      </c>
      <c r="F2" s="62">
        <v>3</v>
      </c>
      <c r="G2" s="62"/>
      <c r="H2" s="62">
        <v>0.6</v>
      </c>
      <c r="I2" s="62">
        <f>IF(H2&gt;=100, 1, 0)</f>
        <v>0</v>
      </c>
    </row>
    <row r="3" spans="1:9" ht="31.5" thickBot="1">
      <c r="A3" s="62">
        <v>2</v>
      </c>
      <c r="B3" s="61" t="s">
        <v>169</v>
      </c>
      <c r="C3" s="61" t="s">
        <v>170</v>
      </c>
      <c r="D3" s="61" t="s">
        <v>171</v>
      </c>
      <c r="E3" s="62">
        <v>4</v>
      </c>
      <c r="F3" s="62">
        <v>2</v>
      </c>
      <c r="G3" s="62"/>
      <c r="H3" s="62">
        <v>0.5</v>
      </c>
      <c r="I3" s="62">
        <f t="shared" ref="I3:I15" si="0">IF(H3&gt;=100, 1, 0)</f>
        <v>0</v>
      </c>
    </row>
    <row r="4" spans="1:9" ht="47" thickBot="1">
      <c r="A4" s="62">
        <v>3</v>
      </c>
      <c r="B4" s="60" t="s">
        <v>172</v>
      </c>
      <c r="C4" s="60" t="s">
        <v>173</v>
      </c>
      <c r="D4" s="60" t="s">
        <v>174</v>
      </c>
      <c r="E4" s="62">
        <v>4</v>
      </c>
      <c r="F4" s="62">
        <v>2</v>
      </c>
      <c r="G4" s="62"/>
      <c r="H4" s="62">
        <v>0.5</v>
      </c>
      <c r="I4" s="62">
        <f t="shared" si="0"/>
        <v>0</v>
      </c>
    </row>
    <row r="5" spans="1:9" ht="47" thickBot="1">
      <c r="A5" s="62">
        <v>4</v>
      </c>
      <c r="B5" s="61" t="s">
        <v>175</v>
      </c>
      <c r="C5" s="61" t="s">
        <v>176</v>
      </c>
      <c r="D5" s="61" t="s">
        <v>177</v>
      </c>
      <c r="E5" s="62">
        <v>1</v>
      </c>
      <c r="F5" s="62">
        <v>1</v>
      </c>
      <c r="G5" s="62"/>
      <c r="H5" s="62">
        <v>1</v>
      </c>
      <c r="I5" s="62">
        <f t="shared" si="0"/>
        <v>0</v>
      </c>
    </row>
    <row r="6" spans="1:9" ht="31.5" thickBot="1">
      <c r="A6" s="62">
        <v>5</v>
      </c>
      <c r="B6" s="60" t="s">
        <v>178</v>
      </c>
      <c r="C6" s="60" t="s">
        <v>179</v>
      </c>
      <c r="D6" s="60" t="s">
        <v>180</v>
      </c>
      <c r="E6" s="62">
        <v>4</v>
      </c>
      <c r="F6" s="62">
        <v>4</v>
      </c>
      <c r="G6" s="62"/>
      <c r="H6" s="62">
        <v>1</v>
      </c>
      <c r="I6" s="62">
        <f t="shared" si="0"/>
        <v>0</v>
      </c>
    </row>
    <row r="7" spans="1:9" ht="31.5" thickBot="1">
      <c r="A7" s="62">
        <v>6</v>
      </c>
      <c r="B7" s="61" t="s">
        <v>181</v>
      </c>
      <c r="C7" s="61" t="s">
        <v>182</v>
      </c>
      <c r="D7" s="61" t="s">
        <v>183</v>
      </c>
      <c r="E7" s="62">
        <v>13</v>
      </c>
      <c r="F7" s="62">
        <v>13</v>
      </c>
      <c r="G7" s="62"/>
      <c r="H7" s="62">
        <v>1</v>
      </c>
      <c r="I7" s="62">
        <f t="shared" si="0"/>
        <v>0</v>
      </c>
    </row>
    <row r="8" spans="1:9" ht="31.5" thickBot="1">
      <c r="A8" s="62">
        <v>7</v>
      </c>
      <c r="B8" s="60" t="s">
        <v>184</v>
      </c>
      <c r="C8" s="60" t="s">
        <v>185</v>
      </c>
      <c r="D8" s="60" t="s">
        <v>186</v>
      </c>
      <c r="E8" s="62">
        <v>2</v>
      </c>
      <c r="F8" s="62">
        <v>1</v>
      </c>
      <c r="G8" s="62"/>
      <c r="H8" s="62">
        <v>0.5</v>
      </c>
      <c r="I8" s="62">
        <f t="shared" si="0"/>
        <v>0</v>
      </c>
    </row>
    <row r="9" spans="1:9" ht="62.5" thickBot="1">
      <c r="A9" s="62">
        <v>8</v>
      </c>
      <c r="B9" s="61" t="s">
        <v>187</v>
      </c>
      <c r="C9" s="61" t="s">
        <v>188</v>
      </c>
      <c r="D9" s="61" t="s">
        <v>189</v>
      </c>
      <c r="E9" s="62">
        <v>90</v>
      </c>
      <c r="F9" s="62">
        <v>5</v>
      </c>
      <c r="G9" s="62"/>
      <c r="H9" s="62">
        <v>0.6</v>
      </c>
      <c r="I9" s="62">
        <f t="shared" si="0"/>
        <v>0</v>
      </c>
    </row>
    <row r="10" spans="1:9" ht="47" thickBot="1">
      <c r="A10" s="62">
        <v>9</v>
      </c>
      <c r="B10" s="60" t="s">
        <v>190</v>
      </c>
      <c r="C10" s="60" t="s">
        <v>191</v>
      </c>
      <c r="D10" s="60" t="s">
        <v>192</v>
      </c>
      <c r="E10" s="62">
        <v>2</v>
      </c>
      <c r="F10" s="62">
        <v>2</v>
      </c>
      <c r="G10" s="62"/>
      <c r="H10" s="62">
        <v>1</v>
      </c>
      <c r="I10" s="62">
        <f t="shared" si="0"/>
        <v>0</v>
      </c>
    </row>
    <row r="11" spans="1:9" ht="47" thickBot="1">
      <c r="A11" s="62">
        <v>10</v>
      </c>
      <c r="B11" s="61" t="s">
        <v>193</v>
      </c>
      <c r="C11" s="61" t="s">
        <v>194</v>
      </c>
      <c r="D11" s="61" t="s">
        <v>180</v>
      </c>
      <c r="E11" s="62">
        <v>19</v>
      </c>
      <c r="F11" s="62">
        <v>5</v>
      </c>
      <c r="G11" s="62"/>
      <c r="H11" s="62">
        <v>0.26</v>
      </c>
      <c r="I11" s="62">
        <f t="shared" si="0"/>
        <v>0</v>
      </c>
    </row>
    <row r="12" spans="1:9" ht="31.5" thickBot="1">
      <c r="A12" s="62">
        <v>11</v>
      </c>
      <c r="B12" s="60" t="s">
        <v>195</v>
      </c>
      <c r="C12" s="60" t="s">
        <v>196</v>
      </c>
      <c r="D12" s="60" t="s">
        <v>197</v>
      </c>
      <c r="E12" s="62" t="s">
        <v>13</v>
      </c>
      <c r="F12" s="62" t="s">
        <v>13</v>
      </c>
      <c r="G12" s="62"/>
      <c r="H12" s="62">
        <v>1</v>
      </c>
      <c r="I12" s="62">
        <f t="shared" si="0"/>
        <v>0</v>
      </c>
    </row>
    <row r="13" spans="1:9" ht="31.5" thickBot="1">
      <c r="A13" s="62">
        <v>12</v>
      </c>
      <c r="B13" s="61" t="s">
        <v>198</v>
      </c>
      <c r="C13" s="61" t="s">
        <v>199</v>
      </c>
      <c r="D13" s="61" t="s">
        <v>186</v>
      </c>
      <c r="E13" s="62" t="s">
        <v>13</v>
      </c>
      <c r="F13" s="62" t="s">
        <v>13</v>
      </c>
      <c r="G13" s="62"/>
      <c r="H13" s="62">
        <v>1</v>
      </c>
      <c r="I13" s="62">
        <f t="shared" si="0"/>
        <v>0</v>
      </c>
    </row>
    <row r="14" spans="1:9" ht="31.5" thickBot="1">
      <c r="A14" s="62">
        <v>13</v>
      </c>
      <c r="B14" s="60" t="s">
        <v>200</v>
      </c>
      <c r="C14" s="60" t="s">
        <v>196</v>
      </c>
      <c r="D14" s="60" t="s">
        <v>197</v>
      </c>
      <c r="E14" s="62" t="s">
        <v>13</v>
      </c>
      <c r="F14" s="62" t="s">
        <v>13</v>
      </c>
      <c r="G14" s="62"/>
      <c r="H14" s="62">
        <v>1</v>
      </c>
      <c r="I14" s="62">
        <f t="shared" si="0"/>
        <v>0</v>
      </c>
    </row>
    <row r="15" spans="1:9" ht="78" thickBot="1">
      <c r="A15" s="62">
        <v>14</v>
      </c>
      <c r="B15" s="61" t="s">
        <v>201</v>
      </c>
      <c r="C15" s="61" t="s">
        <v>202</v>
      </c>
      <c r="D15" s="61" t="s">
        <v>203</v>
      </c>
      <c r="E15" s="64">
        <v>100</v>
      </c>
      <c r="F15" s="62">
        <v>82</v>
      </c>
      <c r="G15" s="62"/>
      <c r="H15" s="62">
        <v>0.82</v>
      </c>
      <c r="I15" s="62">
        <f t="shared" si="0"/>
        <v>0</v>
      </c>
    </row>
  </sheetData>
  <conditionalFormatting sqref="I2:I15">
    <cfRule type="iconSet" priority="1">
      <iconSet>
        <cfvo type="percent" val="0"/>
        <cfvo type="percent" val="33"/>
        <cfvo type="percent" val="67"/>
      </iconSet>
    </cfRule>
  </conditionalFormatting>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FD5E-D9D4-494C-8E7D-61529D0CC45F}">
  <dimension ref="A1:I12"/>
  <sheetViews>
    <sheetView topLeftCell="D11" zoomScale="58" workbookViewId="0">
      <selection activeCell="M6" sqref="M6"/>
    </sheetView>
  </sheetViews>
  <sheetFormatPr defaultRowHeight="14.5"/>
  <cols>
    <col min="1" max="1" width="8.81640625" style="87" bestFit="1" customWidth="1"/>
    <col min="2" max="2" width="23" customWidth="1"/>
    <col min="3" max="3" width="21.26953125" customWidth="1"/>
    <col min="4" max="4" width="47.36328125" customWidth="1"/>
    <col min="5" max="5" width="32.26953125" customWidth="1"/>
    <col min="6" max="6" width="34.36328125" style="87" customWidth="1"/>
    <col min="7" max="7" width="16.1796875" customWidth="1"/>
    <col min="8" max="8" width="14.453125" style="25" customWidth="1"/>
    <col min="9" max="9" width="26.08984375" customWidth="1"/>
  </cols>
  <sheetData>
    <row r="1" spans="1:9" ht="31.5" thickBot="1">
      <c r="A1" s="8" t="s">
        <v>6</v>
      </c>
      <c r="B1" s="9" t="s">
        <v>0</v>
      </c>
      <c r="C1" s="10" t="s">
        <v>1</v>
      </c>
      <c r="D1" s="10" t="s">
        <v>19</v>
      </c>
      <c r="E1" s="10" t="s">
        <v>64</v>
      </c>
      <c r="F1" s="67" t="s">
        <v>3</v>
      </c>
      <c r="G1" s="10" t="s">
        <v>5</v>
      </c>
      <c r="H1" s="24" t="s">
        <v>20</v>
      </c>
      <c r="I1" s="11" t="s">
        <v>21</v>
      </c>
    </row>
    <row r="2" spans="1:9" ht="83.5" customHeight="1" thickBot="1">
      <c r="A2" s="12">
        <v>1</v>
      </c>
      <c r="B2" s="13" t="s">
        <v>22</v>
      </c>
      <c r="C2" s="13" t="s">
        <v>23</v>
      </c>
      <c r="D2" s="13" t="s">
        <v>24</v>
      </c>
      <c r="E2" s="13">
        <v>250</v>
      </c>
      <c r="F2" s="68">
        <v>285</v>
      </c>
      <c r="G2" s="62">
        <v>1.1399999999999999</v>
      </c>
      <c r="H2" s="26">
        <f>IF(G2&gt;=100, 1, 0)</f>
        <v>0</v>
      </c>
      <c r="I2" s="15" t="s">
        <v>25</v>
      </c>
    </row>
    <row r="3" spans="1:9" ht="31.5" thickBot="1">
      <c r="A3" s="16">
        <v>2</v>
      </c>
      <c r="B3" s="17" t="s">
        <v>26</v>
      </c>
      <c r="C3" s="17" t="s">
        <v>27</v>
      </c>
      <c r="D3" s="17" t="s">
        <v>28</v>
      </c>
      <c r="E3" s="18">
        <v>1000000</v>
      </c>
      <c r="F3" s="66">
        <v>763000</v>
      </c>
      <c r="G3" s="62">
        <v>0.76</v>
      </c>
      <c r="H3" s="26">
        <f t="shared" ref="H3:H12" si="0">IF(G3&gt;=100, 1, 0)</f>
        <v>0</v>
      </c>
      <c r="I3" s="19"/>
    </row>
    <row r="4" spans="1:9" ht="47" thickBot="1">
      <c r="A4" s="12">
        <v>3</v>
      </c>
      <c r="B4" s="13" t="s">
        <v>29</v>
      </c>
      <c r="C4" s="13" t="s">
        <v>30</v>
      </c>
      <c r="D4" s="13" t="s">
        <v>31</v>
      </c>
      <c r="E4" s="12">
        <v>900</v>
      </c>
      <c r="F4" s="68">
        <v>644</v>
      </c>
      <c r="G4" s="62">
        <v>0.71</v>
      </c>
      <c r="H4" s="26">
        <f t="shared" si="0"/>
        <v>0</v>
      </c>
      <c r="I4" s="20"/>
    </row>
    <row r="5" spans="1:9" ht="58.5" thickBot="1">
      <c r="A5" s="16">
        <v>4</v>
      </c>
      <c r="B5" s="17" t="s">
        <v>32</v>
      </c>
      <c r="C5" s="17" t="s">
        <v>33</v>
      </c>
      <c r="D5" s="17" t="s">
        <v>34</v>
      </c>
      <c r="E5" s="17">
        <v>80</v>
      </c>
      <c r="F5" s="66">
        <v>61</v>
      </c>
      <c r="G5" s="62">
        <v>0.76</v>
      </c>
      <c r="H5" s="26">
        <f t="shared" si="0"/>
        <v>0</v>
      </c>
      <c r="I5" s="21" t="s">
        <v>35</v>
      </c>
    </row>
    <row r="6" spans="1:9" ht="31.5" thickBot="1">
      <c r="A6" s="12">
        <v>5</v>
      </c>
      <c r="B6" s="13" t="s">
        <v>36</v>
      </c>
      <c r="C6" s="13" t="s">
        <v>37</v>
      </c>
      <c r="D6" s="13" t="s">
        <v>38</v>
      </c>
      <c r="E6" s="12">
        <v>1000000</v>
      </c>
      <c r="F6" s="69">
        <v>710000</v>
      </c>
      <c r="G6" s="62">
        <v>0.71</v>
      </c>
      <c r="H6" s="26">
        <f t="shared" si="0"/>
        <v>0</v>
      </c>
      <c r="I6" s="13" t="s">
        <v>39</v>
      </c>
    </row>
    <row r="7" spans="1:9" ht="140" thickBot="1">
      <c r="A7" s="16">
        <v>6</v>
      </c>
      <c r="B7" s="17" t="s">
        <v>40</v>
      </c>
      <c r="C7" s="16" t="s">
        <v>65</v>
      </c>
      <c r="D7" s="17" t="s">
        <v>38</v>
      </c>
      <c r="E7" s="17" t="s">
        <v>66</v>
      </c>
      <c r="F7" s="66" t="s">
        <v>41</v>
      </c>
      <c r="G7" s="62">
        <v>0.25</v>
      </c>
      <c r="H7" s="26">
        <f t="shared" si="0"/>
        <v>0</v>
      </c>
      <c r="I7" s="17" t="s">
        <v>39</v>
      </c>
    </row>
    <row r="8" spans="1:9" ht="58.5" customHeight="1" thickBot="1">
      <c r="A8" s="65">
        <v>7</v>
      </c>
      <c r="B8" s="83" t="s">
        <v>42</v>
      </c>
      <c r="C8" s="83" t="s">
        <v>43</v>
      </c>
      <c r="D8" s="83" t="s">
        <v>44</v>
      </c>
      <c r="E8" s="12"/>
      <c r="F8" s="106"/>
      <c r="G8" s="62">
        <v>0.5</v>
      </c>
      <c r="H8" s="26">
        <f t="shared" si="0"/>
        <v>0</v>
      </c>
      <c r="I8" s="84" t="s">
        <v>45</v>
      </c>
    </row>
    <row r="9" spans="1:9" ht="124.5" thickBot="1">
      <c r="A9" s="16">
        <v>8</v>
      </c>
      <c r="B9" s="17" t="s">
        <v>46</v>
      </c>
      <c r="C9" s="17" t="s">
        <v>47</v>
      </c>
      <c r="D9" s="17" t="s">
        <v>48</v>
      </c>
      <c r="E9" s="17" t="s">
        <v>49</v>
      </c>
      <c r="F9" s="88" t="s">
        <v>50</v>
      </c>
      <c r="G9" s="62">
        <v>0.41</v>
      </c>
      <c r="H9" s="26">
        <f t="shared" si="0"/>
        <v>0</v>
      </c>
      <c r="I9" s="17" t="s">
        <v>39</v>
      </c>
    </row>
    <row r="10" spans="1:9" ht="153.5" customHeight="1" thickBot="1">
      <c r="A10" s="12">
        <v>9</v>
      </c>
      <c r="B10" s="13" t="s">
        <v>51</v>
      </c>
      <c r="C10" s="13" t="s">
        <v>52</v>
      </c>
      <c r="D10" s="13" t="s">
        <v>53</v>
      </c>
      <c r="E10" s="12" t="s">
        <v>54</v>
      </c>
      <c r="F10" s="89" t="s">
        <v>67</v>
      </c>
      <c r="G10" s="62">
        <v>0.8</v>
      </c>
      <c r="H10" s="26">
        <f t="shared" si="0"/>
        <v>0</v>
      </c>
      <c r="I10" s="13" t="s">
        <v>39</v>
      </c>
    </row>
    <row r="11" spans="1:9" ht="53" customHeight="1" thickBot="1">
      <c r="A11" s="16">
        <v>10</v>
      </c>
      <c r="B11" s="17" t="s">
        <v>55</v>
      </c>
      <c r="C11" s="17" t="s">
        <v>56</v>
      </c>
      <c r="D11" s="17" t="s">
        <v>57</v>
      </c>
      <c r="E11" s="23">
        <v>12</v>
      </c>
      <c r="F11" s="85">
        <v>0</v>
      </c>
      <c r="G11" s="62">
        <v>0</v>
      </c>
      <c r="H11" s="26">
        <f t="shared" si="0"/>
        <v>0</v>
      </c>
      <c r="I11" s="19"/>
    </row>
    <row r="12" spans="1:9" ht="83.5" customHeight="1" thickBot="1">
      <c r="A12" s="12">
        <v>11</v>
      </c>
      <c r="B12" s="74" t="s">
        <v>58</v>
      </c>
      <c r="C12" s="74" t="s">
        <v>56</v>
      </c>
      <c r="D12" s="74" t="s">
        <v>59</v>
      </c>
      <c r="E12" s="12"/>
      <c r="F12" s="106"/>
      <c r="G12" s="62">
        <v>0.5</v>
      </c>
      <c r="H12" s="26">
        <f t="shared" si="0"/>
        <v>0</v>
      </c>
      <c r="I12" s="86" t="s">
        <v>45</v>
      </c>
    </row>
  </sheetData>
  <conditionalFormatting sqref="H2:H12">
    <cfRule type="iconSet" priority="28">
      <iconSet>
        <cfvo type="percent" val="0"/>
        <cfvo type="percent" val="33"/>
        <cfvo type="percent" val="67"/>
      </iconSet>
    </cfRule>
  </conditionalFormatting>
  <conditionalFormatting sqref="G1:G1048576">
    <cfRule type="dataBar" priority="1">
      <dataBar>
        <cfvo type="min"/>
        <cfvo type="max"/>
        <color rgb="FF63C384"/>
      </dataBar>
      <extLst>
        <ext xmlns:x14="http://schemas.microsoft.com/office/spreadsheetml/2009/9/main" uri="{B025F937-C7B1-47D3-B67F-A62EFF666E3E}">
          <x14:id>{82D1E76D-191B-4623-A53C-022E6EFCDB5D}</x14:id>
        </ext>
      </extLst>
    </cfRule>
  </conditionalFormatting>
  <hyperlinks>
    <hyperlink ref="I2" r:id="rId1" location="gid=2028782284" display="https://docs.google.com/spreadsheets/d/1Redixa0LPtgHTKKRBiFf8Azb2sbRpISaMpJ9x4Sk89Q/edit?gid=2028782284 - gid=2028782284" xr:uid="{215E649B-2025-43F0-9536-3995F0D149B9}"/>
    <hyperlink ref="I5" r:id="rId2" xr:uid="{E7DA9612-2B5E-427C-AD03-E52DAA50C8C9}"/>
    <hyperlink ref="I8" r:id="rId3" xr:uid="{DBD2D975-1D98-4BFA-9D5A-EB1001436F68}"/>
    <hyperlink ref="I12" r:id="rId4" xr:uid="{20B6F368-BA3C-48F6-92EC-151207E98874}"/>
  </hyperlinks>
  <pageMargins left="0.7" right="0.7" top="0.75" bottom="0.75" header="0.3" footer="0.3"/>
  <pageSetup orientation="portrait" horizontalDpi="0" verticalDpi="0" r:id="rId5"/>
  <extLst>
    <ext xmlns:x14="http://schemas.microsoft.com/office/spreadsheetml/2009/9/main" uri="{78C0D931-6437-407d-A8EE-F0AAD7539E65}">
      <x14:conditionalFormattings>
        <x14:conditionalFormatting xmlns:xm="http://schemas.microsoft.com/office/excel/2006/main">
          <x14:cfRule type="dataBar" id="{82D1E76D-191B-4623-A53C-022E6EFCDB5D}">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C5918-E657-4389-80BB-F3983C43BBB1}">
  <dimension ref="A1:I9"/>
  <sheetViews>
    <sheetView topLeftCell="C4" zoomScale="59" workbookViewId="0">
      <selection activeCell="H10" sqref="H10"/>
    </sheetView>
  </sheetViews>
  <sheetFormatPr defaultRowHeight="14.5"/>
  <cols>
    <col min="1" max="1" width="3.453125" bestFit="1" customWidth="1"/>
    <col min="2" max="2" width="26.6328125" customWidth="1"/>
    <col min="3" max="3" width="18.6328125" customWidth="1"/>
    <col min="4" max="4" width="42.7265625" customWidth="1"/>
    <col min="5" max="5" width="12.90625" customWidth="1"/>
    <col min="6" max="6" width="11.81640625" customWidth="1"/>
    <col min="7" max="7" width="37.7265625" customWidth="1"/>
    <col min="8" max="8" width="15.81640625" customWidth="1"/>
  </cols>
  <sheetData>
    <row r="1" spans="1:9" ht="31.5" thickBot="1">
      <c r="A1" s="49" t="s">
        <v>6</v>
      </c>
      <c r="B1" s="50" t="s">
        <v>0</v>
      </c>
      <c r="C1" s="1" t="s">
        <v>1</v>
      </c>
      <c r="D1" s="1" t="s">
        <v>19</v>
      </c>
      <c r="E1" s="1" t="s">
        <v>64</v>
      </c>
      <c r="F1" s="1" t="s">
        <v>3</v>
      </c>
      <c r="G1" s="6" t="s">
        <v>111</v>
      </c>
      <c r="H1" s="57" t="s">
        <v>5</v>
      </c>
      <c r="I1" s="57" t="s">
        <v>110</v>
      </c>
    </row>
    <row r="2" spans="1:9" ht="47" thickBot="1">
      <c r="A2" s="51">
        <v>1</v>
      </c>
      <c r="B2" s="2" t="s">
        <v>112</v>
      </c>
      <c r="C2" s="2" t="s">
        <v>140</v>
      </c>
      <c r="D2" s="2" t="s">
        <v>113</v>
      </c>
      <c r="E2" s="3">
        <v>150</v>
      </c>
      <c r="F2" s="3">
        <v>126</v>
      </c>
      <c r="G2" s="107" t="s">
        <v>115</v>
      </c>
      <c r="H2" s="62">
        <v>0.83</v>
      </c>
      <c r="I2" s="13" t="s">
        <v>114</v>
      </c>
    </row>
    <row r="3" spans="1:9" ht="42.5" thickBot="1">
      <c r="A3" s="52"/>
      <c r="B3" s="53"/>
      <c r="C3" s="2" t="s">
        <v>140</v>
      </c>
      <c r="D3" s="4" t="s">
        <v>113</v>
      </c>
      <c r="E3" s="5">
        <v>150</v>
      </c>
      <c r="F3" s="5">
        <v>76</v>
      </c>
      <c r="G3" s="108" t="s">
        <v>116</v>
      </c>
      <c r="H3" s="62">
        <v>0.51</v>
      </c>
      <c r="I3" s="17" t="s">
        <v>114</v>
      </c>
    </row>
    <row r="4" spans="1:9" ht="62.5" thickBot="1">
      <c r="A4" s="51">
        <v>2</v>
      </c>
      <c r="B4" s="2" t="s">
        <v>117</v>
      </c>
      <c r="C4" s="2" t="s">
        <v>140</v>
      </c>
      <c r="D4" s="2" t="s">
        <v>118</v>
      </c>
      <c r="E4" s="3">
        <v>116</v>
      </c>
      <c r="F4" s="3">
        <v>114</v>
      </c>
      <c r="G4" s="107" t="s">
        <v>120</v>
      </c>
      <c r="H4" s="62">
        <v>0.98</v>
      </c>
      <c r="I4" s="13" t="s">
        <v>119</v>
      </c>
    </row>
    <row r="5" spans="1:9" ht="124.5" thickBot="1">
      <c r="A5" s="54">
        <v>3</v>
      </c>
      <c r="B5" s="4" t="s">
        <v>121</v>
      </c>
      <c r="C5" s="2" t="s">
        <v>140</v>
      </c>
      <c r="D5" s="4" t="s">
        <v>122</v>
      </c>
      <c r="E5" s="5">
        <v>67</v>
      </c>
      <c r="F5" s="5">
        <v>15</v>
      </c>
      <c r="G5" s="109" t="s">
        <v>123</v>
      </c>
      <c r="H5" s="62">
        <v>0.22</v>
      </c>
      <c r="I5" s="17" t="s">
        <v>114</v>
      </c>
    </row>
    <row r="6" spans="1:9" ht="47" thickBot="1">
      <c r="A6" s="51">
        <v>4</v>
      </c>
      <c r="B6" s="2" t="s">
        <v>124</v>
      </c>
      <c r="C6" s="2" t="s">
        <v>125</v>
      </c>
      <c r="D6" s="2" t="s">
        <v>126</v>
      </c>
      <c r="E6" s="3">
        <v>12</v>
      </c>
      <c r="F6" s="3">
        <v>26</v>
      </c>
      <c r="G6" s="107" t="s">
        <v>127</v>
      </c>
      <c r="H6" s="62">
        <v>2.17</v>
      </c>
      <c r="I6" s="13" t="s">
        <v>119</v>
      </c>
    </row>
    <row r="7" spans="1:9" ht="47" thickBot="1">
      <c r="A7" s="54">
        <v>5</v>
      </c>
      <c r="B7" s="4" t="s">
        <v>128</v>
      </c>
      <c r="C7" s="4" t="s">
        <v>129</v>
      </c>
      <c r="D7" s="4" t="s">
        <v>130</v>
      </c>
      <c r="E7" s="5">
        <v>8</v>
      </c>
      <c r="F7" s="5">
        <v>7</v>
      </c>
      <c r="G7" s="110" t="s">
        <v>131</v>
      </c>
      <c r="H7" s="62">
        <v>0.88</v>
      </c>
      <c r="I7" s="17" t="s">
        <v>114</v>
      </c>
    </row>
    <row r="8" spans="1:9" ht="47" thickBot="1">
      <c r="A8" s="51">
        <v>6</v>
      </c>
      <c r="B8" s="2" t="s">
        <v>132</v>
      </c>
      <c r="C8" s="2" t="s">
        <v>133</v>
      </c>
      <c r="D8" s="2" t="s">
        <v>134</v>
      </c>
      <c r="E8" s="3">
        <v>2</v>
      </c>
      <c r="F8" s="3">
        <v>2</v>
      </c>
      <c r="G8" s="107" t="s">
        <v>135</v>
      </c>
      <c r="H8" s="62">
        <v>1</v>
      </c>
      <c r="I8" s="13" t="s">
        <v>119</v>
      </c>
    </row>
    <row r="9" spans="1:9" ht="62.5" thickBot="1">
      <c r="A9" s="54">
        <v>7</v>
      </c>
      <c r="B9" s="4" t="s">
        <v>136</v>
      </c>
      <c r="C9" s="4" t="s">
        <v>137</v>
      </c>
      <c r="D9" s="4" t="s">
        <v>138</v>
      </c>
      <c r="E9" s="5">
        <v>2</v>
      </c>
      <c r="F9" s="5">
        <v>2</v>
      </c>
      <c r="G9" s="110" t="s">
        <v>139</v>
      </c>
      <c r="H9" s="62">
        <v>1</v>
      </c>
      <c r="I9" s="17" t="s">
        <v>119</v>
      </c>
    </row>
  </sheetData>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F0174-6120-4686-A4A5-152583A0E31A}">
  <dimension ref="A1:I9"/>
  <sheetViews>
    <sheetView zoomScale="38" workbookViewId="0">
      <selection activeCell="K6" sqref="K6"/>
    </sheetView>
  </sheetViews>
  <sheetFormatPr defaultColWidth="46" defaultRowHeight="15.5"/>
  <cols>
    <col min="1" max="1" width="4.26953125" style="55" bestFit="1" customWidth="1"/>
    <col min="2" max="2" width="45.6328125" style="55" bestFit="1" customWidth="1"/>
    <col min="3" max="3" width="45" style="58" bestFit="1" customWidth="1"/>
    <col min="4" max="4" width="46" style="55"/>
    <col min="5" max="5" width="30.08984375" style="55" customWidth="1"/>
    <col min="6" max="6" width="18" style="56" customWidth="1"/>
    <col min="7" max="7" width="59.90625" style="58" customWidth="1"/>
    <col min="8" max="8" width="10.1796875" style="55" bestFit="1" customWidth="1"/>
    <col min="9" max="9" width="15.6328125" style="55" customWidth="1"/>
    <col min="10" max="16384" width="46" style="55"/>
  </cols>
  <sheetData>
    <row r="1" spans="1:9" ht="16" thickBot="1">
      <c r="A1" s="90" t="s">
        <v>6</v>
      </c>
      <c r="B1" s="90" t="s">
        <v>0</v>
      </c>
      <c r="C1" s="57" t="s">
        <v>1</v>
      </c>
      <c r="D1" s="57" t="s">
        <v>19</v>
      </c>
      <c r="E1" s="57" t="s">
        <v>64</v>
      </c>
      <c r="F1" s="57" t="s">
        <v>3</v>
      </c>
      <c r="G1" s="73" t="s">
        <v>61</v>
      </c>
      <c r="H1" s="57" t="s">
        <v>5</v>
      </c>
      <c r="I1" s="57" t="s">
        <v>110</v>
      </c>
    </row>
    <row r="2" spans="1:9" ht="141.5" customHeight="1" thickBot="1">
      <c r="A2" s="92">
        <v>1</v>
      </c>
      <c r="B2" s="74" t="s">
        <v>141</v>
      </c>
      <c r="C2" s="74" t="s">
        <v>142</v>
      </c>
      <c r="D2" s="13" t="s">
        <v>145</v>
      </c>
      <c r="E2" s="13" t="s">
        <v>205</v>
      </c>
      <c r="F2" s="13" t="s">
        <v>204</v>
      </c>
      <c r="G2" s="74" t="s">
        <v>163</v>
      </c>
      <c r="H2" s="62">
        <v>1.25</v>
      </c>
      <c r="I2" s="92">
        <f>IF(H2&gt;=1, 1, 0)</f>
        <v>1</v>
      </c>
    </row>
    <row r="3" spans="1:9" ht="50" customHeight="1" thickBot="1">
      <c r="A3" s="62">
        <v>2</v>
      </c>
      <c r="B3" s="13" t="s">
        <v>143</v>
      </c>
      <c r="C3" s="76" t="s">
        <v>144</v>
      </c>
      <c r="D3" s="17" t="s">
        <v>145</v>
      </c>
      <c r="E3" s="17">
        <v>40</v>
      </c>
      <c r="F3" s="17">
        <v>17</v>
      </c>
      <c r="G3" s="76" t="s">
        <v>146</v>
      </c>
      <c r="H3" s="62">
        <v>0.43</v>
      </c>
      <c r="I3" s="92">
        <f t="shared" ref="I3:I8" si="0">IF(H3&gt;=1, 1, 0)</f>
        <v>0</v>
      </c>
    </row>
    <row r="4" spans="1:9" ht="62.5" thickBot="1">
      <c r="A4" s="62">
        <v>3</v>
      </c>
      <c r="B4" s="13" t="s">
        <v>147</v>
      </c>
      <c r="C4" s="74" t="s">
        <v>148</v>
      </c>
      <c r="D4" s="13" t="s">
        <v>149</v>
      </c>
      <c r="E4" s="13">
        <v>14000000</v>
      </c>
      <c r="F4" s="13">
        <v>12828700</v>
      </c>
      <c r="G4" s="74"/>
      <c r="H4" s="62">
        <v>0.92</v>
      </c>
      <c r="I4" s="92">
        <f t="shared" si="0"/>
        <v>0</v>
      </c>
    </row>
    <row r="5" spans="1:9" ht="93.5" thickBot="1">
      <c r="A5" s="62">
        <v>4</v>
      </c>
      <c r="B5" s="17" t="s">
        <v>150</v>
      </c>
      <c r="C5" s="76" t="s">
        <v>151</v>
      </c>
      <c r="D5" s="17" t="s">
        <v>152</v>
      </c>
      <c r="E5" s="17">
        <v>5</v>
      </c>
      <c r="F5" s="17">
        <v>2</v>
      </c>
      <c r="G5" s="76" t="s">
        <v>164</v>
      </c>
      <c r="H5" s="62">
        <v>0.4</v>
      </c>
      <c r="I5" s="92">
        <f t="shared" si="0"/>
        <v>0</v>
      </c>
    </row>
    <row r="6" spans="1:9" ht="124.5" thickBot="1">
      <c r="A6" s="62">
        <v>5</v>
      </c>
      <c r="B6" s="13" t="s">
        <v>153</v>
      </c>
      <c r="C6" s="74" t="s">
        <v>151</v>
      </c>
      <c r="D6" s="13" t="s">
        <v>154</v>
      </c>
      <c r="E6" s="13">
        <v>5</v>
      </c>
      <c r="F6" s="13">
        <v>2</v>
      </c>
      <c r="G6" s="74" t="s">
        <v>165</v>
      </c>
      <c r="H6" s="62">
        <v>0.4</v>
      </c>
      <c r="I6" s="92">
        <f t="shared" si="0"/>
        <v>0</v>
      </c>
    </row>
    <row r="7" spans="1:9" ht="62.5" thickBot="1">
      <c r="A7" s="92">
        <v>6</v>
      </c>
      <c r="B7" s="76" t="s">
        <v>155</v>
      </c>
      <c r="C7" s="76" t="s">
        <v>156</v>
      </c>
      <c r="D7" s="17" t="s">
        <v>157</v>
      </c>
      <c r="E7" s="17">
        <v>54570000</v>
      </c>
      <c r="F7" s="17">
        <v>41516630</v>
      </c>
      <c r="G7" s="76"/>
      <c r="H7" s="62">
        <v>0.9</v>
      </c>
      <c r="I7" s="92">
        <f t="shared" si="0"/>
        <v>0</v>
      </c>
    </row>
    <row r="8" spans="1:9" ht="109" thickBot="1">
      <c r="A8" s="62">
        <v>7</v>
      </c>
      <c r="B8" s="13" t="s">
        <v>158</v>
      </c>
      <c r="C8" s="74" t="s">
        <v>159</v>
      </c>
      <c r="D8" s="13" t="s">
        <v>160</v>
      </c>
      <c r="E8" s="13"/>
      <c r="F8" s="93" t="s">
        <v>161</v>
      </c>
      <c r="G8" s="74" t="s">
        <v>162</v>
      </c>
      <c r="H8" s="62">
        <v>0.8</v>
      </c>
      <c r="I8" s="92">
        <f t="shared" si="0"/>
        <v>0</v>
      </c>
    </row>
    <row r="9" spans="1:9">
      <c r="A9" s="91"/>
      <c r="F9" s="55"/>
    </row>
  </sheetData>
  <phoneticPr fontId="14" type="noConversion"/>
  <conditionalFormatting sqref="I2:I8">
    <cfRule type="iconSet" priority="1">
      <iconSet>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6C90-D777-4357-83A6-845FAD5340E8}">
  <dimension ref="A1:I13"/>
  <sheetViews>
    <sheetView topLeftCell="C1" zoomScale="55" workbookViewId="0">
      <selection activeCell="G6" sqref="G6"/>
    </sheetView>
  </sheetViews>
  <sheetFormatPr defaultRowHeight="15.5"/>
  <cols>
    <col min="1" max="1" width="4.7265625" style="43" customWidth="1"/>
    <col min="2" max="2" width="35.26953125" style="40" customWidth="1"/>
    <col min="3" max="3" width="43.26953125" style="40" customWidth="1"/>
    <col min="4" max="4" width="42.54296875" style="40" customWidth="1"/>
    <col min="5" max="5" width="16.26953125" style="44" customWidth="1"/>
    <col min="6" max="6" width="15.6328125" style="44" customWidth="1"/>
    <col min="7" max="7" width="85.6328125" style="40" customWidth="1"/>
    <col min="8" max="8" width="12.81640625" style="45" bestFit="1" customWidth="1"/>
    <col min="9" max="9" width="15" style="40" customWidth="1"/>
    <col min="10" max="16384" width="8.7265625" style="40"/>
  </cols>
  <sheetData>
    <row r="1" spans="1:9" ht="16" thickBot="1">
      <c r="A1" s="27" t="s">
        <v>6</v>
      </c>
      <c r="B1" s="46" t="s">
        <v>0</v>
      </c>
      <c r="C1" s="47" t="s">
        <v>1</v>
      </c>
      <c r="D1" s="47" t="s">
        <v>19</v>
      </c>
      <c r="E1" s="47" t="s">
        <v>64</v>
      </c>
      <c r="F1" s="47" t="s">
        <v>3</v>
      </c>
      <c r="G1" s="48" t="s">
        <v>61</v>
      </c>
      <c r="H1" s="117" t="s">
        <v>5</v>
      </c>
      <c r="I1" s="47" t="s">
        <v>20</v>
      </c>
    </row>
    <row r="2" spans="1:9" ht="47" thickBot="1">
      <c r="A2" s="28">
        <v>1</v>
      </c>
      <c r="B2" s="29" t="s">
        <v>68</v>
      </c>
      <c r="C2" s="29" t="s">
        <v>69</v>
      </c>
      <c r="D2" s="29" t="s">
        <v>70</v>
      </c>
      <c r="E2" s="30">
        <v>148</v>
      </c>
      <c r="F2" s="30">
        <v>114</v>
      </c>
      <c r="G2" s="111" t="s">
        <v>100</v>
      </c>
      <c r="H2" s="118">
        <v>0.77</v>
      </c>
      <c r="I2" s="116">
        <f>IF(H2&gt;=70%, 1, 0)</f>
        <v>1</v>
      </c>
    </row>
    <row r="3" spans="1:9" ht="109" customHeight="1" thickBot="1">
      <c r="A3" s="31">
        <v>2</v>
      </c>
      <c r="B3" s="32" t="s">
        <v>71</v>
      </c>
      <c r="C3" s="32" t="s">
        <v>72</v>
      </c>
      <c r="D3" s="32" t="s">
        <v>73</v>
      </c>
      <c r="E3" s="33">
        <v>1600000</v>
      </c>
      <c r="F3" s="33">
        <v>1050000</v>
      </c>
      <c r="G3" s="112" t="s">
        <v>101</v>
      </c>
      <c r="H3" s="118">
        <v>0.66</v>
      </c>
      <c r="I3" s="116">
        <f>IF(H3&gt;=70%, 1, 0)</f>
        <v>0</v>
      </c>
    </row>
    <row r="4" spans="1:9" ht="47" thickBot="1">
      <c r="A4" s="28">
        <v>3</v>
      </c>
      <c r="B4" s="29" t="s">
        <v>74</v>
      </c>
      <c r="C4" s="29" t="s">
        <v>72</v>
      </c>
      <c r="D4" s="29" t="s">
        <v>73</v>
      </c>
      <c r="E4" s="30">
        <v>700000</v>
      </c>
      <c r="F4" s="30">
        <v>797000</v>
      </c>
      <c r="G4" s="111" t="s">
        <v>102</v>
      </c>
      <c r="H4" s="118">
        <v>1.1399999999999999</v>
      </c>
      <c r="I4" s="116">
        <f t="shared" ref="I4:I13" si="0">IF(H4&gt;=70%, 1, 0)</f>
        <v>1</v>
      </c>
    </row>
    <row r="5" spans="1:9" ht="47" thickBot="1">
      <c r="A5" s="31">
        <v>4</v>
      </c>
      <c r="B5" s="32" t="s">
        <v>75</v>
      </c>
      <c r="C5" s="32" t="s">
        <v>72</v>
      </c>
      <c r="D5" s="32" t="s">
        <v>73</v>
      </c>
      <c r="E5" s="33">
        <v>1820000</v>
      </c>
      <c r="F5" s="33">
        <v>2250000</v>
      </c>
      <c r="G5" s="112" t="s">
        <v>103</v>
      </c>
      <c r="H5" s="118">
        <v>1.24</v>
      </c>
      <c r="I5" s="116">
        <f t="shared" si="0"/>
        <v>1</v>
      </c>
    </row>
    <row r="6" spans="1:9" ht="112" customHeight="1" thickBot="1">
      <c r="A6" s="28">
        <v>5</v>
      </c>
      <c r="B6" s="29" t="s">
        <v>76</v>
      </c>
      <c r="C6" s="29" t="s">
        <v>77</v>
      </c>
      <c r="D6" s="29" t="s">
        <v>78</v>
      </c>
      <c r="E6" s="30">
        <v>20</v>
      </c>
      <c r="F6" s="30">
        <v>13</v>
      </c>
      <c r="G6" s="111" t="s">
        <v>104</v>
      </c>
      <c r="H6" s="118">
        <v>0.65</v>
      </c>
      <c r="I6" s="116">
        <f t="shared" si="0"/>
        <v>0</v>
      </c>
    </row>
    <row r="7" spans="1:9" ht="104.5" customHeight="1" thickBot="1">
      <c r="A7" s="31">
        <v>6</v>
      </c>
      <c r="B7" s="32" t="s">
        <v>79</v>
      </c>
      <c r="C7" s="32" t="s">
        <v>80</v>
      </c>
      <c r="D7" s="32" t="s">
        <v>81</v>
      </c>
      <c r="E7" s="33">
        <v>240</v>
      </c>
      <c r="F7" s="33">
        <v>239</v>
      </c>
      <c r="G7" s="112" t="s">
        <v>105</v>
      </c>
      <c r="H7" s="118">
        <v>1</v>
      </c>
      <c r="I7" s="116">
        <f t="shared" si="0"/>
        <v>1</v>
      </c>
    </row>
    <row r="8" spans="1:9" ht="97" customHeight="1" thickBot="1">
      <c r="A8" s="28">
        <v>7</v>
      </c>
      <c r="B8" s="29" t="s">
        <v>82</v>
      </c>
      <c r="C8" s="29" t="s">
        <v>83</v>
      </c>
      <c r="D8" s="29" t="s">
        <v>84</v>
      </c>
      <c r="E8" s="30">
        <v>124</v>
      </c>
      <c r="F8" s="30">
        <v>110</v>
      </c>
      <c r="G8" s="111" t="s">
        <v>106</v>
      </c>
      <c r="H8" s="118">
        <v>0.89</v>
      </c>
      <c r="I8" s="116">
        <f t="shared" si="0"/>
        <v>1</v>
      </c>
    </row>
    <row r="9" spans="1:9" ht="96" customHeight="1" thickBot="1">
      <c r="A9" s="31">
        <v>8</v>
      </c>
      <c r="B9" s="32" t="s">
        <v>85</v>
      </c>
      <c r="C9" s="32" t="s">
        <v>86</v>
      </c>
      <c r="D9" s="32" t="s">
        <v>87</v>
      </c>
      <c r="E9" s="33">
        <v>124</v>
      </c>
      <c r="F9" s="33">
        <v>110</v>
      </c>
      <c r="G9" s="112" t="s">
        <v>107</v>
      </c>
      <c r="H9" s="118">
        <v>0.89</v>
      </c>
      <c r="I9" s="116">
        <f t="shared" si="0"/>
        <v>1</v>
      </c>
    </row>
    <row r="10" spans="1:9" ht="31.5" thickBot="1">
      <c r="A10" s="28">
        <v>9</v>
      </c>
      <c r="B10" s="34" t="s">
        <v>88</v>
      </c>
      <c r="C10" s="34" t="s">
        <v>89</v>
      </c>
      <c r="D10" s="34" t="s">
        <v>90</v>
      </c>
      <c r="E10" s="41">
        <v>656</v>
      </c>
      <c r="F10" s="41">
        <v>600</v>
      </c>
      <c r="G10" s="113"/>
      <c r="H10" s="118">
        <v>0.91</v>
      </c>
      <c r="I10" s="116">
        <f t="shared" si="0"/>
        <v>1</v>
      </c>
    </row>
    <row r="11" spans="1:9" ht="62" customHeight="1" thickBot="1">
      <c r="A11" s="35">
        <v>10</v>
      </c>
      <c r="B11" s="36" t="s">
        <v>91</v>
      </c>
      <c r="C11" s="37" t="s">
        <v>92</v>
      </c>
      <c r="D11" s="36" t="s">
        <v>93</v>
      </c>
      <c r="E11" s="38">
        <v>113</v>
      </c>
      <c r="F11" s="38">
        <v>113</v>
      </c>
      <c r="G11" s="114" t="s">
        <v>108</v>
      </c>
      <c r="H11" s="118">
        <v>1</v>
      </c>
      <c r="I11" s="116">
        <f t="shared" si="0"/>
        <v>1</v>
      </c>
    </row>
    <row r="12" spans="1:9" ht="84.5" customHeight="1" thickBot="1">
      <c r="A12" s="28">
        <v>11</v>
      </c>
      <c r="B12" s="39" t="s">
        <v>94</v>
      </c>
      <c r="C12" s="39" t="s">
        <v>95</v>
      </c>
      <c r="D12" s="39" t="s">
        <v>96</v>
      </c>
      <c r="E12" s="42">
        <v>90</v>
      </c>
      <c r="F12" s="42">
        <v>95</v>
      </c>
      <c r="G12" s="115"/>
      <c r="H12" s="118">
        <v>1.06</v>
      </c>
      <c r="I12" s="116">
        <f t="shared" si="0"/>
        <v>1</v>
      </c>
    </row>
    <row r="13" spans="1:9" ht="189" customHeight="1" thickBot="1">
      <c r="A13" s="31">
        <v>12</v>
      </c>
      <c r="B13" s="32" t="s">
        <v>97</v>
      </c>
      <c r="C13" s="32" t="s">
        <v>98</v>
      </c>
      <c r="D13" s="32" t="s">
        <v>99</v>
      </c>
      <c r="E13" s="33">
        <v>100</v>
      </c>
      <c r="F13" s="33">
        <v>100</v>
      </c>
      <c r="G13" s="112" t="s">
        <v>109</v>
      </c>
      <c r="H13" s="118">
        <v>1</v>
      </c>
      <c r="I13" s="116">
        <f t="shared" si="0"/>
        <v>1</v>
      </c>
    </row>
  </sheetData>
  <conditionalFormatting sqref="I2:I13">
    <cfRule type="iconSet" priority="1">
      <iconSet>
        <cfvo type="percent" val="0"/>
        <cfvo type="percent" val="33"/>
        <cfvo type="percent" val="67"/>
      </iconSet>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Ketum</vt:lpstr>
      <vt:lpstr>SEKUM</vt:lpstr>
      <vt:lpstr>Sekretaris 1</vt:lpstr>
      <vt:lpstr>Bendahara 1</vt:lpstr>
      <vt:lpstr>LITBANG</vt:lpstr>
      <vt:lpstr>HUMAS</vt:lpstr>
      <vt:lpstr>KESEHATAN</vt:lpstr>
      <vt:lpstr>PENGAB</vt:lpstr>
      <vt:lpstr>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Donny</dc:creator>
  <cp:lastModifiedBy>Donny</cp:lastModifiedBy>
  <dcterms:created xsi:type="dcterms:W3CDTF">2026-01-21T12:02:49Z</dcterms:created>
  <dcterms:modified xsi:type="dcterms:W3CDTF">2026-01-31T06:34:50Z</dcterms:modified>
</cp:coreProperties>
</file>